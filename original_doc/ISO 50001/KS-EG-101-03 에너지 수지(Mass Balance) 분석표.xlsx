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에너지 수지(Mass Balance) 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rgb="FF1F1F1F"/>
      <sz val="10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b val="1"/>
      <color theme="1"/>
      <sz val="10"/>
    </font>
    <font>
      <name val="나눔스퀘어 Bold"/>
      <charset val="129"/>
      <family val="3"/>
      <color theme="1"/>
      <sz val="16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2"/>
      <color theme="1" tint="0.499984740745262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</fills>
  <borders count="34">
    <border>
      <left/>
      <right/>
      <top/>
      <bottom/>
      <diagonal/>
    </border>
    <border>
      <left style="hair">
        <color rgb="FF000000"/>
      </left>
      <right style="thin">
        <color auto="1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thin">
        <color auto="1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auto="1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auto="1"/>
      </left>
      <right style="hair">
        <color rgb="FF000000"/>
      </right>
      <top style="hair">
        <color rgb="FF000000"/>
      </top>
      <bottom/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auto="1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left" vertical="center" wrapText="1" readingOrder="1"/>
    </xf>
    <xf numFmtId="0" fontId="5" fillId="0" borderId="3" applyAlignment="1" pivotButton="0" quotePrefix="0" xfId="0">
      <alignment horizontal="center" vertical="center" wrapText="1" readingOrder="1"/>
    </xf>
    <xf numFmtId="0" fontId="4" fillId="0" borderId="4" applyAlignment="1" pivotButton="0" quotePrefix="0" xfId="0">
      <alignment horizontal="center" vertical="center" wrapText="1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5" applyAlignment="1" pivotButton="0" quotePrefix="0" xfId="0">
      <alignment horizontal="left" vertical="center" wrapText="1" readingOrder="1"/>
    </xf>
    <xf numFmtId="0" fontId="5" fillId="0" borderId="6" applyAlignment="1" pivotButton="0" quotePrefix="0" xfId="0">
      <alignment horizontal="center" vertical="center" wrapText="1" readingOrder="1"/>
    </xf>
    <xf numFmtId="0" fontId="5" fillId="0" borderId="7" applyAlignment="1" pivotButton="0" quotePrefix="0" xfId="0">
      <alignment horizontal="center" vertical="center" wrapText="1" readingOrder="1"/>
    </xf>
    <xf numFmtId="0" fontId="5" fillId="0" borderId="8" applyAlignment="1" pivotButton="0" quotePrefix="0" xfId="0">
      <alignment horizontal="center" vertical="center" wrapText="1" readingOrder="1"/>
    </xf>
    <xf numFmtId="0" fontId="5" fillId="0" borderId="9" applyAlignment="1" pivotButton="0" quotePrefix="0" xfId="0">
      <alignment horizontal="center" vertical="center" wrapText="1" readingOrder="1"/>
    </xf>
    <xf numFmtId="0" fontId="6" fillId="0" borderId="1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 wrapText="1" readingOrder="1"/>
    </xf>
    <xf numFmtId="0" fontId="4" fillId="0" borderId="13" applyAlignment="1" pivotButton="0" quotePrefix="0" xfId="0">
      <alignment vertical="center" wrapText="1" readingOrder="1"/>
    </xf>
    <xf numFmtId="0" fontId="4" fillId="0" borderId="13" applyAlignment="1" pivotButton="0" quotePrefix="0" xfId="0">
      <alignment horizontal="center" vertical="center" wrapText="1" readingOrder="1"/>
    </xf>
    <xf numFmtId="0" fontId="5" fillId="0" borderId="14" applyAlignment="1" pivotButton="0" quotePrefix="0" xfId="0">
      <alignment horizontal="center" vertical="center" wrapText="1" readingOrder="1"/>
    </xf>
    <xf numFmtId="0" fontId="4" fillId="0" borderId="4" applyAlignment="1" pivotButton="0" quotePrefix="0" xfId="0">
      <alignment vertical="center" wrapText="1" readingOrder="1"/>
    </xf>
    <xf numFmtId="0" fontId="4" fillId="0" borderId="5" applyAlignment="1" pivotButton="0" quotePrefix="0" xfId="0">
      <alignment vertical="center" wrapText="1" readingOrder="1"/>
    </xf>
    <xf numFmtId="0" fontId="4" fillId="0" borderId="5" applyAlignment="1" pivotButton="0" quotePrefix="0" xfId="0">
      <alignment horizontal="center" vertical="center" wrapText="1" readingOrder="1"/>
    </xf>
    <xf numFmtId="0" fontId="4" fillId="0" borderId="15" applyAlignment="1" pivotButton="0" quotePrefix="0" xfId="0">
      <alignment vertical="center" wrapText="1" readingOrder="1"/>
    </xf>
    <xf numFmtId="0" fontId="4" fillId="0" borderId="16" applyAlignment="1" pivotButton="0" quotePrefix="0" xfId="0">
      <alignment vertical="center" wrapText="1" readingOrder="1"/>
    </xf>
    <xf numFmtId="0" fontId="4" fillId="0" borderId="16" applyAlignment="1" pivotButton="0" quotePrefix="0" xfId="0">
      <alignment horizontal="center" vertical="center" wrapText="1" readingOrder="1"/>
    </xf>
    <xf numFmtId="0" fontId="5" fillId="0" borderId="17" applyAlignment="1" pivotButton="0" quotePrefix="0" xfId="0">
      <alignment horizontal="center" vertical="center" wrapText="1" readingOrder="1"/>
    </xf>
    <xf numFmtId="0" fontId="4" fillId="2" borderId="15" applyAlignment="1" pivotButton="0" quotePrefix="0" xfId="0">
      <alignment vertical="center" wrapText="1" readingOrder="1"/>
    </xf>
    <xf numFmtId="10" fontId="4" fillId="2" borderId="16" applyAlignment="1" pivotButton="0" quotePrefix="0" xfId="0">
      <alignment vertical="center" wrapText="1" readingOrder="1"/>
    </xf>
    <xf numFmtId="0" fontId="4" fillId="2" borderId="16" applyAlignment="1" pivotButton="0" quotePrefix="0" xfId="0">
      <alignment vertical="center" wrapText="1" readingOrder="1"/>
    </xf>
    <xf numFmtId="0" fontId="4" fillId="2" borderId="16" applyAlignment="1" pivotButton="0" quotePrefix="0" xfId="0">
      <alignment horizontal="center" vertical="center" wrapText="1" readingOrder="1"/>
    </xf>
    <xf numFmtId="0" fontId="5" fillId="2" borderId="17" applyAlignment="1" pivotButton="0" quotePrefix="0" xfId="0">
      <alignment horizontal="center" vertical="center" wrapText="1" readingOrder="1"/>
    </xf>
    <xf numFmtId="3" fontId="4" fillId="0" borderId="5" applyAlignment="1" pivotButton="0" quotePrefix="0" xfId="0">
      <alignment vertical="center" wrapText="1" readingOrder="1"/>
    </xf>
    <xf numFmtId="0" fontId="4" fillId="2" borderId="4" applyAlignment="1" pivotButton="0" quotePrefix="0" xfId="0">
      <alignment vertical="center" wrapText="1" readingOrder="1"/>
    </xf>
    <xf numFmtId="10" fontId="4" fillId="2" borderId="5" applyAlignment="1" pivotButton="0" quotePrefix="0" xfId="0">
      <alignment vertical="center" wrapText="1" readingOrder="1"/>
    </xf>
    <xf numFmtId="0" fontId="4" fillId="2" borderId="5" applyAlignment="1" pivotButton="0" quotePrefix="0" xfId="0">
      <alignment vertical="center" wrapText="1" readingOrder="1"/>
    </xf>
    <xf numFmtId="0" fontId="4" fillId="2" borderId="5" applyAlignment="1" pivotButton="0" quotePrefix="0" xfId="0">
      <alignment horizontal="center" vertical="center" wrapText="1" readingOrder="1"/>
    </xf>
    <xf numFmtId="0" fontId="5" fillId="2" borderId="6" applyAlignment="1" pivotButton="0" quotePrefix="0" xfId="0">
      <alignment horizontal="center" vertical="center" wrapText="1" readingOrder="1"/>
    </xf>
    <xf numFmtId="0" fontId="5" fillId="2" borderId="7" applyAlignment="1" pivotButton="0" quotePrefix="0" xfId="0">
      <alignment horizontal="center" vertical="center" wrapText="1" readingOrder="1"/>
    </xf>
    <xf numFmtId="0" fontId="5" fillId="2" borderId="8" applyAlignment="1" pivotButton="0" quotePrefix="0" xfId="0">
      <alignment horizontal="center" vertical="center" wrapText="1" readingOrder="1"/>
    </xf>
    <xf numFmtId="0" fontId="5" fillId="2" borderId="9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9" fontId="8" fillId="3" borderId="20" applyAlignment="1" pivotButton="0" quotePrefix="0" xfId="1">
      <alignment vertical="center"/>
    </xf>
    <xf numFmtId="0" fontId="8" fillId="3" borderId="21" applyAlignment="1" pivotButton="0" quotePrefix="0" xfId="0">
      <alignment vertical="center"/>
    </xf>
    <xf numFmtId="9" fontId="4" fillId="2" borderId="12" applyAlignment="1" pivotButton="0" quotePrefix="0" xfId="0">
      <alignment horizontal="right" vertical="center" wrapText="1" readingOrder="1"/>
    </xf>
    <xf numFmtId="3" fontId="4" fillId="2" borderId="13" applyAlignment="1" pivotButton="0" quotePrefix="0" xfId="0">
      <alignment horizontal="right" vertical="center" wrapText="1" readingOrder="1"/>
    </xf>
    <xf numFmtId="0" fontId="4" fillId="2" borderId="22" applyAlignment="1" pivotButton="0" quotePrefix="0" xfId="0">
      <alignment horizontal="center" vertical="center" wrapText="1" readingOrder="1"/>
    </xf>
    <xf numFmtId="0" fontId="4" fillId="2" borderId="23" applyAlignment="1" pivotButton="0" quotePrefix="0" xfId="0">
      <alignment horizontal="center" vertical="center" wrapText="1" readingOrder="1"/>
    </xf>
    <xf numFmtId="0" fontId="5" fillId="2" borderId="14" applyAlignment="1" pivotButton="0" quotePrefix="0" xfId="0">
      <alignment horizontal="center" vertical="center" wrapText="1" readingOrder="1"/>
    </xf>
    <xf numFmtId="10" fontId="4" fillId="0" borderId="4" applyAlignment="1" pivotButton="0" quotePrefix="0" xfId="0">
      <alignment horizontal="right" vertical="center" wrapText="1" readingOrder="1"/>
    </xf>
    <xf numFmtId="3" fontId="4" fillId="0" borderId="5" applyAlignment="1" pivotButton="0" quotePrefix="0" xfId="0">
      <alignment horizontal="right" vertical="center" wrapText="1" readingOrder="1"/>
    </xf>
    <xf numFmtId="0" fontId="4" fillId="0" borderId="5" applyAlignment="1" pivotButton="0" quotePrefix="0" xfId="0">
      <alignment horizontal="right" vertical="center" wrapText="1" readingOrder="1"/>
    </xf>
    <xf numFmtId="0" fontId="4" fillId="0" borderId="24" applyAlignment="1" pivotButton="0" quotePrefix="0" xfId="0">
      <alignment horizontal="center" vertical="center" wrapText="1" readingOrder="1"/>
    </xf>
    <xf numFmtId="0" fontId="4" fillId="0" borderId="25" applyAlignment="1" pivotButton="0" quotePrefix="0" xfId="0">
      <alignment horizontal="center" vertical="center" wrapText="1" readingOrder="1"/>
    </xf>
    <xf numFmtId="0" fontId="5" fillId="2" borderId="26" applyAlignment="1" pivotButton="0" quotePrefix="0" xfId="0">
      <alignment horizontal="center" vertical="center" wrapText="1" readingOrder="1"/>
    </xf>
    <xf numFmtId="0" fontId="5" fillId="2" borderId="27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7" fillId="0" borderId="29" applyAlignment="1" pivotButton="0" quotePrefix="0" xfId="0">
      <alignment horizontal="right" vertical="center"/>
    </xf>
    <xf numFmtId="0" fontId="9" fillId="0" borderId="29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6" pivotButton="0" quotePrefix="0" xfId="0"/>
    <xf numFmtId="0" fontId="0" fillId="0" borderId="24" pivotButton="0" quotePrefix="0" xfId="0"/>
    <xf numFmtId="0" fontId="4" fillId="2" borderId="13" applyAlignment="1" pivotButton="0" quotePrefix="0" xfId="0">
      <alignment horizontal="center" vertical="center" wrapText="1" readingOrder="1"/>
    </xf>
    <xf numFmtId="0" fontId="0" fillId="0" borderId="22" pivotButton="0" quotePrefix="0" xfId="0"/>
    <xf numFmtId="0" fontId="0" fillId="0" borderId="11" pivotButton="0" quotePrefix="0" xfId="0"/>
    <xf numFmtId="0" fontId="0" fillId="0" borderId="33" pivotButton="0" quotePrefix="0" xfId="0"/>
  </cellXfs>
  <cellStyles count="2">
    <cellStyle name="표준" xfId="0" builtinId="0"/>
    <cellStyle name="백분율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G38"/>
  <sheetViews>
    <sheetView showGridLines="0" tabSelected="1" zoomScaleNormal="100" workbookViewId="0">
      <selection activeCell="A2" sqref="A2:F2"/>
    </sheetView>
  </sheetViews>
  <sheetFormatPr baseColWidth="8" defaultRowHeight="13.5"/>
  <cols>
    <col width="6.625" customWidth="1" style="1" min="1" max="1"/>
    <col width="8.625" customWidth="1" style="1" min="2" max="2"/>
    <col width="19" customWidth="1" style="1" min="3" max="3"/>
    <col width="12.625" customWidth="1" style="1" min="4" max="7"/>
    <col width="9" customWidth="1" style="1" min="8" max="16384"/>
  </cols>
  <sheetData>
    <row r="1" ht="20.1" customHeight="1" s="67">
      <c r="A1" s="66" t="inlineStr">
        <is>
          <t>양식번호: {{DOC_PREFIX}}-EG-101-03</t>
        </is>
      </c>
      <c r="B1" s="65" t="n"/>
      <c r="C1" s="65" t="n"/>
      <c r="G1" s="64" t="n"/>
    </row>
    <row r="2" ht="24.95" customHeight="1" s="67" thickBot="1">
      <c r="A2" s="63" t="inlineStr">
        <is>
          <t>에너지 수지(Mass Balance) 분석표</t>
        </is>
      </c>
      <c r="B2" s="68" t="n"/>
      <c r="C2" s="68" t="n"/>
      <c r="D2" s="68" t="n"/>
      <c r="E2" s="68" t="n"/>
      <c r="F2" s="68" t="n"/>
      <c r="G2" s="62" t="inlineStr">
        <is>
          <t>{{COMPANY_NAME}}</t>
        </is>
      </c>
    </row>
    <row r="3" ht="15" customHeight="1" s="67">
      <c r="A3" s="61" t="n"/>
      <c r="B3" s="61" t="n"/>
      <c r="C3" s="61" t="n"/>
      <c r="D3" s="61" t="n"/>
      <c r="E3" s="61" t="n"/>
      <c r="F3" s="61" t="n"/>
      <c r="G3" s="61" t="n"/>
    </row>
    <row r="4" ht="18" customHeight="1" s="67">
      <c r="A4" s="60" t="inlineStr">
        <is>
          <t>1. 기본 정보</t>
        </is>
      </c>
      <c r="B4" s="41" t="n"/>
      <c r="C4" s="41" t="n"/>
      <c r="D4" s="41" t="n"/>
      <c r="E4" s="41" t="n"/>
      <c r="F4" s="41" t="n"/>
      <c r="G4" s="41" t="n"/>
    </row>
    <row r="5" ht="18" customHeight="1" s="67">
      <c r="A5" s="59" t="inlineStr">
        <is>
          <t>작성 일자: 2024. __. __</t>
        </is>
      </c>
      <c r="B5" s="41" t="n"/>
      <c r="C5" s="41" t="n"/>
      <c r="D5" s="41" t="n"/>
      <c r="E5" s="41" t="n"/>
      <c r="F5" s="41" t="n"/>
      <c r="G5" s="41" t="n"/>
    </row>
    <row r="6" ht="18" customHeight="1" s="67">
      <c r="A6" s="59" t="inlineStr">
        <is>
          <t>대상 기간: 2024. __. __ ~ 2024. __. __ (월간/분기/연간)</t>
        </is>
      </c>
      <c r="B6" s="41" t="n"/>
      <c r="C6" s="41" t="n"/>
      <c r="D6" s="41" t="n"/>
      <c r="E6" s="41" t="n"/>
      <c r="F6" s="41" t="n"/>
      <c r="G6" s="41" t="n"/>
    </row>
    <row r="7" ht="18" customHeight="1" s="67">
      <c r="A7" s="59" t="inlineStr">
        <is>
          <t>작성자: 부서 / 성명</t>
        </is>
      </c>
      <c r="B7" s="41" t="n"/>
      <c r="C7" s="41" t="n"/>
      <c r="D7" s="41" t="n"/>
      <c r="E7" s="41" t="n"/>
      <c r="F7" s="41" t="n"/>
      <c r="G7" s="41" t="n"/>
    </row>
    <row r="8" ht="15" customHeight="1" s="67">
      <c r="A8" s="41" t="n"/>
      <c r="B8" s="41" t="n"/>
      <c r="C8" s="41" t="n"/>
      <c r="D8" s="41" t="n"/>
      <c r="E8" s="41" t="n"/>
      <c r="F8" s="41" t="n"/>
      <c r="G8" s="41" t="n"/>
    </row>
    <row r="9" ht="18" customHeight="1" s="67">
      <c r="A9" s="14" t="inlineStr">
        <is>
          <t>2. 총괄 에너지 수지 (Overall Mass Balance)</t>
        </is>
      </c>
      <c r="B9" s="13" t="n"/>
      <c r="C9" s="13" t="n"/>
      <c r="D9" s="13" t="n"/>
      <c r="E9" s="13" t="n"/>
      <c r="F9" s="13" t="n"/>
      <c r="G9" s="13" t="n"/>
    </row>
    <row r="10" ht="30" customHeight="1" s="67">
      <c r="A10" s="40" t="inlineStr">
        <is>
          <t>구분</t>
        </is>
      </c>
      <c r="B10" s="39" t="inlineStr">
        <is>
          <t>항목 (Item)</t>
        </is>
      </c>
      <c r="C10" s="69" t="n"/>
      <c r="D10" s="39" t="inlineStr">
        <is>
          <t>사용량 (Input)</t>
        </is>
      </c>
      <c r="E10" s="39" t="inlineStr">
        <is>
          <t>유효 사용량 (Output)</t>
        </is>
      </c>
      <c r="F10" s="39" t="inlineStr">
        <is>
          <t>차이/손실 (Loss/Virtual)</t>
        </is>
      </c>
      <c r="G10" s="38" t="inlineStr">
        <is>
          <t>비중 (%)</t>
        </is>
      </c>
    </row>
    <row r="11" ht="20.1" customHeight="1" s="67">
      <c r="A11" s="9" t="inlineStr">
        <is>
          <t>Level 1</t>
        </is>
      </c>
      <c r="B11" s="22" t="inlineStr">
        <is>
          <t>총 투입량 (Total Input)</t>
        </is>
      </c>
      <c r="C11" s="70" t="n"/>
      <c r="D11" s="53" t="n">
        <v>100000</v>
      </c>
      <c r="E11" s="54" t="inlineStr">
        <is>
          <t>-</t>
        </is>
      </c>
      <c r="F11" s="54" t="inlineStr">
        <is>
          <t>-</t>
        </is>
      </c>
      <c r="G11" s="52" t="n">
        <v>1</v>
      </c>
    </row>
    <row r="12" ht="20.1" customHeight="1" s="67">
      <c r="A12" s="9" t="inlineStr">
        <is>
          <t>Level 2</t>
        </is>
      </c>
      <c r="B12" s="22" t="inlineStr">
        <is>
          <t>① 생산 그룹 (Group A)</t>
        </is>
      </c>
      <c r="C12" s="70" t="n"/>
      <c r="D12" s="54" t="inlineStr">
        <is>
          <t>-</t>
        </is>
      </c>
      <c r="E12" s="53" t="n">
        <v>60000</v>
      </c>
      <c r="F12" s="54" t="inlineStr">
        <is>
          <t>(계측 손실) 500</t>
        </is>
      </c>
      <c r="G12" s="52" t="n">
        <v>0.6</v>
      </c>
    </row>
    <row r="13" ht="20.1" customHeight="1" s="67">
      <c r="A13" s="9" t="inlineStr">
        <is>
          <t>Level 2</t>
        </is>
      </c>
      <c r="B13" s="22" t="inlineStr">
        <is>
          <t>② 기저 부하 (Group B)</t>
        </is>
      </c>
      <c r="C13" s="70" t="n"/>
      <c r="D13" s="54" t="inlineStr">
        <is>
          <t>-</t>
        </is>
      </c>
      <c r="E13" s="53" t="n">
        <v>15000</v>
      </c>
      <c r="F13" s="54" t="inlineStr">
        <is>
          <t>(추산 오차) 200</t>
        </is>
      </c>
      <c r="G13" s="52" t="n">
        <v>0.15</v>
      </c>
    </row>
    <row r="14" ht="20.1" customHeight="1" s="67">
      <c r="A14" s="9" t="inlineStr">
        <is>
          <t>Level 2</t>
        </is>
      </c>
      <c r="B14" s="22" t="inlineStr">
        <is>
          <t>③ 유틸리티 (Group C)</t>
        </is>
      </c>
      <c r="C14" s="70" t="n"/>
      <c r="D14" s="54" t="inlineStr">
        <is>
          <t>-</t>
        </is>
      </c>
      <c r="E14" s="53" t="n">
        <v>20000</v>
      </c>
      <c r="F14" s="54" t="inlineStr">
        <is>
          <t>(배전 손실) 300</t>
        </is>
      </c>
      <c r="G14" s="52" t="n">
        <v>0.2</v>
      </c>
    </row>
    <row r="15" ht="20.1" customHeight="1" s="67">
      <c r="A15" s="9" t="inlineStr">
        <is>
          <t>기타</t>
        </is>
      </c>
      <c r="B15" s="22" t="inlineStr">
        <is>
          <t>미규명 손실 (Unknown)</t>
        </is>
      </c>
      <c r="C15" s="70" t="n"/>
      <c r="D15" s="54" t="inlineStr">
        <is>
          <t>-</t>
        </is>
      </c>
      <c r="E15" s="54" t="inlineStr">
        <is>
          <t>-</t>
        </is>
      </c>
      <c r="F15" s="53" t="n">
        <v>4000</v>
      </c>
      <c r="G15" s="52" t="n">
        <v>0.05</v>
      </c>
    </row>
    <row r="16" ht="20.1" customHeight="1" s="67">
      <c r="A16" s="9" t="n"/>
      <c r="B16" s="22" t="n"/>
      <c r="C16" s="70" t="n"/>
      <c r="D16" s="54" t="n"/>
      <c r="E16" s="54" t="n"/>
      <c r="F16" s="53" t="n"/>
      <c r="G16" s="52" t="n"/>
    </row>
    <row r="17" ht="20.1" customHeight="1" s="67" thickBot="1">
      <c r="A17" s="51" t="inlineStr">
        <is>
          <t>합계</t>
        </is>
      </c>
      <c r="B17" s="71" t="inlineStr">
        <is>
          <t>검증 (Verification)</t>
        </is>
      </c>
      <c r="C17" s="72" t="n"/>
      <c r="D17" s="48" t="n">
        <v>100000</v>
      </c>
      <c r="E17" s="48" t="n">
        <v>95000</v>
      </c>
      <c r="F17" s="48" t="n">
        <v>5000</v>
      </c>
      <c r="G17" s="47" t="n">
        <v>1</v>
      </c>
    </row>
    <row r="18" ht="20.1" customHeight="1" s="67" thickBot="1">
      <c r="A18" s="46" t="inlineStr">
        <is>
          <t>오차율=</t>
        </is>
      </c>
      <c r="B18" s="45">
        <f>F17/D17</f>
        <v/>
      </c>
      <c r="C18" s="44">
        <f>IF(ABS(B18)&gt;5%, "부적합", "적합")</f>
        <v/>
      </c>
      <c r="D18" s="43" t="inlineStr">
        <is>
          <t>산출식 = 차이손실/사용량 | 적합 (오차 ±5% 이내), 부적합 (원인 규명 필요)</t>
        </is>
      </c>
      <c r="E18" s="73" t="n"/>
      <c r="F18" s="73" t="n"/>
      <c r="G18" s="73" t="n"/>
    </row>
    <row r="19" ht="15" customHeight="1" s="67">
      <c r="A19" s="41" t="n"/>
      <c r="B19" s="41" t="n"/>
      <c r="C19" s="41" t="n"/>
      <c r="D19" s="41" t="n"/>
      <c r="E19" s="41" t="n"/>
      <c r="F19" s="41" t="n"/>
      <c r="G19" s="41" t="n"/>
    </row>
    <row r="20" ht="18" customHeight="1" s="67">
      <c r="A20" s="14" t="inlineStr">
        <is>
          <t>3. 상세 에너지 흐름 분석 (Detailed Flow Analysis)</t>
        </is>
      </c>
      <c r="B20" s="13" t="n"/>
      <c r="C20" s="13" t="n"/>
      <c r="D20" s="13" t="n"/>
      <c r="E20" s="13" t="n"/>
      <c r="F20" s="13" t="n"/>
      <c r="G20" s="13" t="n"/>
    </row>
    <row r="21" ht="30" customHeight="1" s="67">
      <c r="A21" s="40" t="inlineStr">
        <is>
          <t>레벨</t>
        </is>
      </c>
      <c r="B21" s="39" t="inlineStr">
        <is>
          <t>상위 그룹 (Parent)</t>
        </is>
      </c>
      <c r="C21" s="39" t="inlineStr">
        <is>
          <t>설비명 / 관리점 (Child)</t>
        </is>
      </c>
      <c r="D21" s="39" t="inlineStr">
        <is>
          <t>계측 방식</t>
        </is>
      </c>
      <c r="E21" s="39" t="inlineStr">
        <is>
          <t>사용량</t>
        </is>
      </c>
      <c r="F21" s="39" t="inlineStr">
        <is>
          <t>부하율/원단위</t>
        </is>
      </c>
      <c r="G21" s="38" t="inlineStr">
        <is>
          <t>Virtual / Loss 분석</t>
        </is>
      </c>
    </row>
    <row r="22" ht="18" customHeight="1" s="67">
      <c r="A22" s="9" t="inlineStr">
        <is>
          <t>L1</t>
        </is>
      </c>
      <c r="B22" s="22" t="inlineStr">
        <is>
          <t>Total</t>
        </is>
      </c>
      <c r="C22" s="22" t="inlineStr">
        <is>
          <t>메인 전력 인입</t>
        </is>
      </c>
      <c r="D22" s="22" t="inlineStr">
        <is>
          <t>Real</t>
        </is>
      </c>
      <c r="E22" s="32" t="n">
        <v>100000</v>
      </c>
      <c r="F22" s="21" t="inlineStr">
        <is>
          <t>-</t>
        </is>
      </c>
      <c r="G22" s="20" t="inlineStr">
        <is>
          <t>한전 검침값</t>
        </is>
      </c>
    </row>
    <row r="23" ht="18" customHeight="1" s="67">
      <c r="A23" s="9" t="inlineStr">
        <is>
          <t>L2</t>
        </is>
      </c>
      <c r="B23" s="22" t="inlineStr">
        <is>
          <t>Total</t>
        </is>
      </c>
      <c r="C23" s="22" t="inlineStr">
        <is>
          <t>#1 생산동 분전반</t>
        </is>
      </c>
      <c r="D23" s="22" t="inlineStr">
        <is>
          <t>Real</t>
        </is>
      </c>
      <c r="E23" s="32" t="n">
        <v>60500</v>
      </c>
      <c r="F23" s="21" t="inlineStr">
        <is>
          <t>-</t>
        </is>
      </c>
      <c r="G23" s="20" t="n"/>
    </row>
    <row r="24" ht="18" customHeight="1" s="67">
      <c r="A24" s="9" t="inlineStr">
        <is>
          <t>L3</t>
        </is>
      </c>
      <c r="B24" s="22" t="inlineStr">
        <is>
          <t>#1 생산동</t>
        </is>
      </c>
      <c r="C24" s="22" t="inlineStr">
        <is>
          <t>- A 라인 (사출)</t>
        </is>
      </c>
      <c r="D24" s="22" t="inlineStr">
        <is>
          <t>Real</t>
        </is>
      </c>
      <c r="E24" s="32" t="n">
        <v>40000</v>
      </c>
      <c r="F24" s="21" t="n">
        <v>0.45</v>
      </c>
      <c r="G24" s="20" t="n"/>
    </row>
    <row r="25" ht="18" customHeight="1" s="67">
      <c r="A25" s="9" t="inlineStr">
        <is>
          <t>L3</t>
        </is>
      </c>
      <c r="B25" s="22" t="inlineStr">
        <is>
          <t>#1 생산동</t>
        </is>
      </c>
      <c r="C25" s="22" t="inlineStr">
        <is>
          <t>- B 라인 (가공)</t>
        </is>
      </c>
      <c r="D25" s="22" t="inlineStr">
        <is>
          <t>Est.</t>
        </is>
      </c>
      <c r="E25" s="32" t="n">
        <v>20000</v>
      </c>
      <c r="F25" s="21" t="inlineStr">
        <is>
          <t>(생산량 환산)</t>
        </is>
      </c>
      <c r="G25" s="20" t="n"/>
    </row>
    <row r="26" ht="18" customHeight="1" s="67">
      <c r="A26" s="37" t="inlineStr">
        <is>
          <t>Loss</t>
        </is>
      </c>
      <c r="B26" s="36" t="inlineStr">
        <is>
          <t>#1 생산동</t>
        </is>
      </c>
      <c r="C26" s="36" t="inlineStr">
        <is>
          <t>배전반/선로 손실</t>
        </is>
      </c>
      <c r="D26" s="36" t="inlineStr">
        <is>
          <t>Virtual</t>
        </is>
      </c>
      <c r="E26" s="35" t="n">
        <v>500</v>
      </c>
      <c r="F26" s="34" t="n">
        <v>0.008</v>
      </c>
      <c r="G26" s="33" t="inlineStr">
        <is>
          <t>정상 범위 (발열 없음)</t>
        </is>
      </c>
    </row>
    <row r="27" ht="18" customHeight="1" s="67">
      <c r="A27" s="9" t="inlineStr">
        <is>
          <t>L2</t>
        </is>
      </c>
      <c r="B27" s="22" t="inlineStr">
        <is>
          <t>Total</t>
        </is>
      </c>
      <c r="C27" s="22" t="inlineStr">
        <is>
          <t>#2 사무동 분전반</t>
        </is>
      </c>
      <c r="D27" s="22" t="inlineStr">
        <is>
          <t>Virtual</t>
        </is>
      </c>
      <c r="E27" s="32" t="n">
        <v>15200</v>
      </c>
      <c r="F27" s="21" t="inlineStr">
        <is>
          <t>-</t>
        </is>
      </c>
      <c r="G27" s="20" t="inlineStr">
        <is>
          <t>(Total - 타 분전반 합)</t>
        </is>
      </c>
    </row>
    <row r="28" ht="18" customHeight="1" s="67">
      <c r="A28" s="9" t="inlineStr">
        <is>
          <t>L3</t>
        </is>
      </c>
      <c r="B28" s="22" t="inlineStr">
        <is>
          <t>#2 사무동</t>
        </is>
      </c>
      <c r="C28" s="22" t="inlineStr">
        <is>
          <t>- 조명 및 전열</t>
        </is>
      </c>
      <c r="D28" s="22" t="inlineStr">
        <is>
          <t>Est.</t>
        </is>
      </c>
      <c r="E28" s="32" t="n">
        <v>5000</v>
      </c>
      <c r="F28" s="21" t="inlineStr">
        <is>
          <t>(가동시간)</t>
        </is>
      </c>
      <c r="G28" s="20" t="n"/>
    </row>
    <row r="29" ht="18" customHeight="1" s="67">
      <c r="A29" s="9" t="inlineStr">
        <is>
          <t>L3</t>
        </is>
      </c>
      <c r="B29" s="22" t="inlineStr">
        <is>
          <t>#2 사무동</t>
        </is>
      </c>
      <c r="C29" s="22" t="inlineStr">
        <is>
          <t>- 냉난방기(EHP)</t>
        </is>
      </c>
      <c r="D29" s="22" t="inlineStr">
        <is>
          <t>Est.</t>
        </is>
      </c>
      <c r="E29" s="32" t="n">
        <v>10000</v>
      </c>
      <c r="F29" s="21" t="inlineStr">
        <is>
          <t>(가동시간)</t>
        </is>
      </c>
      <c r="G29" s="20" t="n"/>
    </row>
    <row r="30" ht="18" customHeight="1" s="67">
      <c r="A30" s="31" t="inlineStr">
        <is>
          <t>Loss</t>
        </is>
      </c>
      <c r="B30" s="30" t="inlineStr">
        <is>
          <t>#2 사무동</t>
        </is>
      </c>
      <c r="C30" s="30" t="inlineStr">
        <is>
          <t>미계측/대기전력</t>
        </is>
      </c>
      <c r="D30" s="30" t="inlineStr">
        <is>
          <t>Virtual</t>
        </is>
      </c>
      <c r="E30" s="29" t="n">
        <v>200</v>
      </c>
      <c r="F30" s="28" t="n">
        <v>0.013</v>
      </c>
      <c r="G30" s="27" t="inlineStr">
        <is>
          <t>점심시간 소등 점검 요망</t>
        </is>
      </c>
    </row>
    <row r="31" ht="18" customHeight="1" s="67">
      <c r="A31" s="26" t="n"/>
      <c r="B31" s="25" t="n"/>
      <c r="C31" s="25" t="n"/>
      <c r="D31" s="25" t="n"/>
      <c r="E31" s="24" t="n"/>
      <c r="F31" s="24" t="n"/>
      <c r="G31" s="23" t="n"/>
    </row>
    <row r="32" ht="18" customHeight="1" s="67">
      <c r="A32" s="9" t="n"/>
      <c r="B32" s="22" t="n"/>
      <c r="C32" s="22" t="n"/>
      <c r="D32" s="22" t="n"/>
      <c r="E32" s="21" t="n"/>
      <c r="F32" s="21" t="n"/>
      <c r="G32" s="20" t="n"/>
    </row>
    <row r="33" ht="18" customHeight="1" s="67">
      <c r="A33" s="19" t="n"/>
      <c r="B33" s="18" t="n"/>
      <c r="C33" s="18" t="n"/>
      <c r="D33" s="18" t="n"/>
      <c r="E33" s="17" t="n"/>
      <c r="F33" s="17" t="n"/>
      <c r="G33" s="16" t="n"/>
    </row>
    <row r="34" ht="15" customHeight="1" s="67">
      <c r="A34" s="15" t="n"/>
      <c r="B34" s="15" t="n"/>
      <c r="C34" s="15" t="n"/>
      <c r="D34" s="15" t="n"/>
      <c r="E34" s="15" t="n"/>
      <c r="F34" s="15" t="n"/>
      <c r="G34" s="15" t="n"/>
    </row>
    <row r="35" ht="18" customHeight="1" s="67">
      <c r="A35" s="14" t="inlineStr">
        <is>
          <t>4. 종합 분석 및 개선 대책 (Analysis &amp; Action)</t>
        </is>
      </c>
      <c r="B35" s="13" t="n"/>
      <c r="C35" s="13" t="n"/>
      <c r="D35" s="13" t="n"/>
      <c r="E35" s="13" t="n"/>
      <c r="F35" s="13" t="n"/>
      <c r="G35" s="13" t="n"/>
    </row>
    <row r="36" ht="18" customHeight="1" s="67">
      <c r="A36" s="12" t="inlineStr">
        <is>
          <t>구분</t>
        </is>
      </c>
      <c r="B36" s="11" t="inlineStr">
        <is>
          <t>분석 내용 (Analysis)</t>
        </is>
      </c>
      <c r="C36" s="69" t="n"/>
      <c r="D36" s="11" t="inlineStr">
        <is>
          <t>개선 대책 (Action Plan)</t>
        </is>
      </c>
      <c r="E36" s="69" t="n"/>
      <c r="F36" s="11" t="inlineStr">
        <is>
          <t>담당/기한</t>
        </is>
      </c>
      <c r="G36" s="69" t="n"/>
    </row>
    <row r="37" ht="38.1" customHeight="1" s="67">
      <c r="A37" s="9" t="inlineStr">
        <is>
          <t>SEU</t>
        </is>
      </c>
      <c r="B37" s="8" t="inlineStr">
        <is>
          <t>A라인 사출기 원단위가 전월 대비 5% 악화됨</t>
        </is>
      </c>
      <c r="C37" s="70" t="n"/>
      <c r="D37" s="8" t="inlineStr">
        <is>
          <t>히터 단열 커버 파손 확인 → 교체 필요</t>
        </is>
      </c>
      <c r="E37" s="70" t="n"/>
      <c r="F37" s="22" t="inlineStr">
        <is>
          <t>공무팀 / 5.30</t>
        </is>
      </c>
      <c r="G37" s="70" t="n"/>
    </row>
    <row r="38" ht="38.1" customHeight="1" s="67">
      <c r="A38" s="5" t="inlineStr">
        <is>
          <t>Loss</t>
        </is>
      </c>
      <c r="B38" s="4" t="inlineStr">
        <is>
          <t>전체 Loss(Virtual) 비중이 5%로 증가함 (평소 2%)</t>
        </is>
      </c>
      <c r="C38" s="74" t="n"/>
      <c r="D38" s="4" t="inlineStr">
        <is>
          <t>사무동 야근 증가로 인한 추산 오차로 추정됨</t>
        </is>
      </c>
      <c r="E38" s="74" t="n"/>
      <c r="F38" s="3" t="inlineStr">
        <is>
          <t>사무동 부하율 재산정 (0.6 → 0.7)</t>
        </is>
      </c>
      <c r="G38" s="74" t="n"/>
    </row>
  </sheetData>
  <mergeCells count="19">
    <mergeCell ref="D18:G18"/>
    <mergeCell ref="B16:C16"/>
    <mergeCell ref="D36:E36"/>
    <mergeCell ref="B12:C12"/>
    <mergeCell ref="A2:F2"/>
    <mergeCell ref="B11:C11"/>
    <mergeCell ref="B14:C14"/>
    <mergeCell ref="F36:G36"/>
    <mergeCell ref="B17:C17"/>
    <mergeCell ref="B13:C13"/>
    <mergeCell ref="B38:C38"/>
    <mergeCell ref="F38:G38"/>
    <mergeCell ref="B37:C37"/>
    <mergeCell ref="B10:C10"/>
    <mergeCell ref="D37:E37"/>
    <mergeCell ref="F37:G37"/>
    <mergeCell ref="B15:C15"/>
    <mergeCell ref="D38:E38"/>
    <mergeCell ref="B36:C36"/>
  </mergeCells>
  <printOptions horizont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2026-01-30T08:09:30Z</dcterms:created>
  <dcterms:modified xmlns:dcterms="http://purl.org/dc/terms/" xmlns:xsi="http://www.w3.org/2001/XMLSchema-instance" xsi:type="dcterms:W3CDTF">2026-09-22T05:57:51Z</dcterms:modified>
  <cp:lastModifiedBy>홍덕 김</cp:lastModifiedBy>
</cp:coreProperties>
</file>