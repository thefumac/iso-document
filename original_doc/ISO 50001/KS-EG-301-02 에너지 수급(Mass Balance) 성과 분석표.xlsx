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에너지 수급(Mass Balance) 분석표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_-;_-@_-"/>
    <numFmt numFmtId="165" formatCode="_-* #,##0.0_-;\-* #,##0.0_-;_-* &quot;-&quot;_-;_-@_-"/>
  </numFmts>
  <fonts count="15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나눔스퀘어"/>
      <charset val="129"/>
      <family val="3"/>
      <color theme="1"/>
      <sz val="10"/>
    </font>
    <font>
      <name val="맑은 고딕"/>
      <charset val="129"/>
      <family val="2"/>
      <sz val="8"/>
      <scheme val="minor"/>
    </font>
    <font>
      <name val="나눔스퀘어"/>
      <charset val="129"/>
      <family val="3"/>
      <color theme="1" tint="0.499984740745262"/>
      <sz val="9"/>
    </font>
    <font>
      <name val="나눔스퀘어"/>
      <charset val="129"/>
      <family val="3"/>
      <color theme="1" tint="0.499984740745262"/>
      <sz val="10"/>
    </font>
    <font>
      <name val="나눔스퀘어 Bold"/>
      <charset val="129"/>
      <family val="3"/>
      <color theme="1"/>
      <sz val="10"/>
    </font>
    <font>
      <name val="나눔스퀘어 Bold"/>
      <charset val="129"/>
      <family val="3"/>
      <color theme="1"/>
      <sz val="11"/>
    </font>
    <font>
      <name val="나눔스퀘어 ExtraBold"/>
      <charset val="129"/>
      <family val="3"/>
      <color theme="1"/>
      <sz val="12"/>
    </font>
    <font>
      <name val="나눔스퀘어 ExtraBold"/>
      <charset val="129"/>
      <family val="3"/>
      <color theme="1" tint="0.499984740745262"/>
      <sz val="14"/>
    </font>
    <font>
      <name val="나눔스퀘어 Bold"/>
      <charset val="129"/>
      <family val="3"/>
      <color theme="1" tint="0.499984740745262"/>
      <sz val="10"/>
    </font>
    <font>
      <name val="나눔스퀘어"/>
      <charset val="129"/>
      <family val="3"/>
      <color rgb="FF000000"/>
      <sz val="10"/>
    </font>
    <font>
      <name val="나눔스퀘어"/>
      <charset val="129"/>
      <family val="3"/>
      <color rgb="FF000000"/>
      <sz val="16"/>
    </font>
    <font>
      <name val="나눔스퀘어"/>
      <charset val="129"/>
      <family val="3"/>
      <color rgb="FF000000"/>
      <sz val="11"/>
    </font>
    <font>
      <name val="나눔스퀘어"/>
      <charset val="129"/>
      <family val="3"/>
      <color rgb="FF808080"/>
      <sz val="9"/>
    </font>
  </fonts>
  <fills count="6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FFCC"/>
        <bgColor indexed="64"/>
      </patternFill>
    </fill>
  </fills>
  <borders count="39">
    <border>
      <left/>
      <right/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double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hair">
        <color auto="1"/>
      </right>
      <top style="double">
        <color auto="1"/>
      </top>
      <bottom/>
      <diagonal/>
    </border>
    <border>
      <left/>
      <right style="hair">
        <color auto="1"/>
      </right>
      <top style="double">
        <color auto="1"/>
      </top>
      <bottom style="thin">
        <color auto="1"/>
      </bottom>
      <diagonal/>
    </border>
  </borders>
  <cellStyleXfs count="2">
    <xf numFmtId="0" fontId="1" fillId="0" borderId="0" applyAlignment="1">
      <alignment vertical="center"/>
    </xf>
    <xf numFmtId="41" fontId="1" fillId="0" borderId="0" applyAlignment="1">
      <alignment vertical="center"/>
    </xf>
  </cellStyleXfs>
  <cellXfs count="91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left" vertical="center"/>
    </xf>
    <xf numFmtId="0" fontId="2" fillId="0" borderId="4" applyAlignment="1" pivotButton="0" quotePrefix="0" xfId="0">
      <alignment horizontal="left" vertical="center"/>
    </xf>
    <xf numFmtId="0" fontId="6" fillId="2" borderId="7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6" fillId="2" borderId="1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164" fontId="10" fillId="4" borderId="11" applyAlignment="1" pivotButton="0" quotePrefix="0" xfId="1">
      <alignment vertical="center"/>
    </xf>
    <xf numFmtId="0" fontId="6" fillId="4" borderId="13" applyAlignment="1" pivotButton="0" quotePrefix="0" xfId="0">
      <alignment horizontal="center" vertical="center"/>
    </xf>
    <xf numFmtId="164" fontId="2" fillId="0" borderId="1" applyAlignment="1" pivotButton="0" quotePrefix="0" xfId="1">
      <alignment vertical="center"/>
    </xf>
    <xf numFmtId="0" fontId="2" fillId="0" borderId="3" applyAlignment="1" pivotButton="0" quotePrefix="0" xfId="0">
      <alignment vertical="center"/>
    </xf>
    <xf numFmtId="164" fontId="2" fillId="0" borderId="4" applyAlignment="1" pivotButton="0" quotePrefix="0" xfId="1">
      <alignment vertical="center"/>
    </xf>
    <xf numFmtId="0" fontId="2" fillId="0" borderId="6" applyAlignment="1" pivotButton="0" quotePrefix="0" xfId="0">
      <alignment vertical="center"/>
    </xf>
    <xf numFmtId="165" fontId="5" fillId="0" borderId="4" applyAlignment="1" pivotButton="0" quotePrefix="0" xfId="1">
      <alignment vertical="center"/>
    </xf>
    <xf numFmtId="0" fontId="5" fillId="0" borderId="6" applyAlignment="1" pivotButton="0" quotePrefix="0" xfId="0">
      <alignment vertical="center"/>
    </xf>
    <xf numFmtId="164" fontId="5" fillId="0" borderId="7" applyAlignment="1" pivotButton="0" quotePrefix="0" xfId="1">
      <alignment vertical="center"/>
    </xf>
    <xf numFmtId="0" fontId="5" fillId="0" borderId="9" applyAlignment="1" pivotButton="0" quotePrefix="0" xfId="0">
      <alignment vertical="center"/>
    </xf>
    <xf numFmtId="0" fontId="6" fillId="0" borderId="14" applyAlignment="1" pivotButton="0" quotePrefix="0" xfId="0">
      <alignment horizontal="center" vertical="center"/>
    </xf>
    <xf numFmtId="0" fontId="6" fillId="0" borderId="16" applyAlignment="1" pivotButton="0" quotePrefix="0" xfId="0">
      <alignment horizontal="center" vertical="center"/>
    </xf>
    <xf numFmtId="0" fontId="11" fillId="0" borderId="20" applyAlignment="1" pivotButton="0" quotePrefix="0" xfId="0">
      <alignment horizontal="right" vertical="center"/>
    </xf>
    <xf numFmtId="0" fontId="12" fillId="0" borderId="2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vertical="top"/>
    </xf>
    <xf numFmtId="0" fontId="6" fillId="0" borderId="16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6" fillId="0" borderId="14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19" applyAlignment="1" pivotButton="0" quotePrefix="0" xfId="0">
      <alignment horizontal="center" vertical="center"/>
    </xf>
    <xf numFmtId="0" fontId="6" fillId="2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164" fontId="5" fillId="0" borderId="8" applyAlignment="1" pivotButton="0" quotePrefix="0" xfId="1">
      <alignment horizontal="right" vertical="center"/>
    </xf>
    <xf numFmtId="164" fontId="5" fillId="0" borderId="5" applyAlignment="1" pivotButton="0" quotePrefix="0" xfId="1">
      <alignment horizontal="right" vertical="center"/>
    </xf>
    <xf numFmtId="164" fontId="5" fillId="5" borderId="5" applyAlignment="1" pivotButton="0" quotePrefix="0" xfId="1">
      <alignment horizontal="right" vertical="center"/>
    </xf>
    <xf numFmtId="164" fontId="5" fillId="0" borderId="2" applyAlignment="1" pivotButton="0" quotePrefix="0" xfId="1">
      <alignment horizontal="right" vertical="center"/>
    </xf>
    <xf numFmtId="164" fontId="10" fillId="3" borderId="12" applyAlignment="1" pivotButton="0" quotePrefix="0" xfId="1">
      <alignment horizontal="right" vertical="center"/>
    </xf>
    <xf numFmtId="0" fontId="5" fillId="0" borderId="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2" applyAlignment="1" pivotButton="0" quotePrefix="0" xfId="0">
      <alignment horizontal="center" vertical="center"/>
    </xf>
    <xf numFmtId="0" fontId="6" fillId="3" borderId="11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/>
    </xf>
    <xf numFmtId="0" fontId="6" fillId="3" borderId="13" applyAlignment="1" pivotButton="0" quotePrefix="0" xfId="0">
      <alignment horizontal="center" vertical="center"/>
    </xf>
    <xf numFmtId="3" fontId="9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 wrapText="1"/>
    </xf>
    <xf numFmtId="10" fontId="9" fillId="0" borderId="10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6" fillId="2" borderId="8" applyAlignment="1" pivotButton="0" quotePrefix="0" xfId="0">
      <alignment horizontal="center" vertical="center"/>
    </xf>
    <xf numFmtId="0" fontId="2" fillId="0" borderId="6" applyAlignment="1" pivotButton="0" quotePrefix="0" xfId="0">
      <alignment horizontal="left" vertical="center"/>
    </xf>
    <xf numFmtId="0" fontId="2" fillId="0" borderId="5" applyAlignment="1" pivotButton="0" quotePrefix="0" xfId="0">
      <alignment horizontal="left" vertical="center"/>
    </xf>
    <xf numFmtId="0" fontId="2" fillId="0" borderId="5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3" pivotButton="0" quotePrefix="0" xfId="0"/>
    <xf numFmtId="0" fontId="0" fillId="0" borderId="32" pivotButton="0" quotePrefix="0" xfId="0"/>
    <xf numFmtId="0" fontId="0" fillId="0" borderId="28" pivotButton="0" quotePrefix="0" xfId="0"/>
    <xf numFmtId="0" fontId="0" fillId="0" borderId="27" pivotButton="0" quotePrefix="0" xfId="0"/>
    <xf numFmtId="0" fontId="0" fillId="0" borderId="38" pivotButton="0" quotePrefix="0" xfId="0"/>
    <xf numFmtId="164" fontId="5" fillId="0" borderId="7" applyAlignment="1" pivotButton="0" quotePrefix="0" xfId="1">
      <alignment vertical="center"/>
    </xf>
    <xf numFmtId="0" fontId="0" fillId="0" borderId="29" pivotButton="0" quotePrefix="0" xfId="0"/>
    <xf numFmtId="164" fontId="5" fillId="0" borderId="8" applyAlignment="1" pivotButton="0" quotePrefix="0" xfId="1">
      <alignment horizontal="right" vertical="center"/>
    </xf>
    <xf numFmtId="165" fontId="5" fillId="0" borderId="4" applyAlignment="1" pivotButton="0" quotePrefix="0" xfId="1">
      <alignment vertical="center"/>
    </xf>
    <xf numFmtId="0" fontId="0" fillId="0" borderId="23" pivotButton="0" quotePrefix="0" xfId="0"/>
    <xf numFmtId="164" fontId="5" fillId="0" borderId="5" applyAlignment="1" pivotButton="0" quotePrefix="0" xfId="1">
      <alignment horizontal="right" vertical="center"/>
    </xf>
    <xf numFmtId="164" fontId="2" fillId="0" borderId="4" applyAlignment="1" pivotButton="0" quotePrefix="0" xfId="1">
      <alignment vertical="center"/>
    </xf>
    <xf numFmtId="164" fontId="5" fillId="5" borderId="5" applyAlignment="1" pivotButton="0" quotePrefix="0" xfId="1">
      <alignment horizontal="right" vertical="center"/>
    </xf>
    <xf numFmtId="164" fontId="2" fillId="0" borderId="1" applyAlignment="1" pivotButton="0" quotePrefix="0" xfId="1">
      <alignment vertical="center"/>
    </xf>
    <xf numFmtId="0" fontId="0" fillId="0" borderId="25" pivotButton="0" quotePrefix="0" xfId="0"/>
    <xf numFmtId="164" fontId="5" fillId="0" borderId="2" applyAlignment="1" pivotButton="0" quotePrefix="0" xfId="1">
      <alignment horizontal="right" vertical="center"/>
    </xf>
    <xf numFmtId="164" fontId="10" fillId="4" borderId="11" applyAlignment="1" pivotButton="0" quotePrefix="0" xfId="1">
      <alignment vertical="center"/>
    </xf>
    <xf numFmtId="0" fontId="0" fillId="0" borderId="35" pivotButton="0" quotePrefix="0" xfId="0"/>
    <xf numFmtId="164" fontId="10" fillId="3" borderId="12" applyAlignment="1" pivotButton="0" quotePrefix="0" xfId="1">
      <alignment horizontal="right" vertical="center"/>
    </xf>
    <xf numFmtId="0" fontId="0" fillId="0" borderId="30" pivotButton="0" quotePrefix="0" xfId="0"/>
    <xf numFmtId="0" fontId="0" fillId="0" borderId="24" pivotButton="0" quotePrefix="0" xfId="0"/>
    <xf numFmtId="0" fontId="0" fillId="0" borderId="26" pivotButton="0" quotePrefix="0" xfId="0"/>
  </cellXfs>
  <cellStyles count="2">
    <cellStyle name="표준" xfId="0" builtinId="0"/>
    <cellStyle name="쉼표 [0]" xfId="1" builtinId="6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tabSelected="1" workbookViewId="0">
      <selection activeCell="A3" sqref="A3"/>
    </sheetView>
  </sheetViews>
  <sheetFormatPr baseColWidth="8" defaultRowHeight="15" customHeight="1"/>
  <cols>
    <col width="14.625" customWidth="1" style="1" min="1" max="2"/>
    <col width="2.625" customWidth="1" style="1" min="3" max="3"/>
    <col width="12.625" customWidth="1" style="1" min="4" max="4"/>
    <col width="7.625" customWidth="1" style="1" min="5" max="8"/>
    <col width="14.625" customWidth="1" style="1" min="9" max="9"/>
    <col width="9" customWidth="1" style="1" min="10" max="16384"/>
  </cols>
  <sheetData>
    <row r="1" ht="15" customHeight="1" s="68">
      <c r="A1" s="24" t="inlineStr">
        <is>
          <t>양식번호: {{DOC_PREFIX}}-EG-301-02</t>
        </is>
      </c>
      <c r="B1" s="24" t="n"/>
      <c r="C1" s="24" t="n"/>
      <c r="D1" s="24" t="n"/>
      <c r="E1" s="24" t="n"/>
      <c r="F1" s="24" t="n"/>
      <c r="G1" s="24" t="n"/>
      <c r="H1" s="23" t="n"/>
      <c r="I1" s="23" t="n"/>
      <c r="J1" s="23" t="n"/>
      <c r="K1" s="23" t="n"/>
    </row>
    <row r="2" ht="30" customHeight="1" s="68" thickBot="1">
      <c r="A2" s="22" t="inlineStr">
        <is>
          <t>에너지 수급(Mass Balance) 성과 분석표</t>
        </is>
      </c>
      <c r="B2" s="22" t="n"/>
      <c r="C2" s="22" t="n"/>
      <c r="D2" s="22" t="n"/>
      <c r="E2" s="22" t="n"/>
      <c r="F2" s="22" t="n"/>
      <c r="G2" s="22" t="n"/>
      <c r="H2" s="22" t="n"/>
      <c r="I2" s="21" t="inlineStr">
        <is>
          <t>{{COMPANY_NAME}}</t>
        </is>
      </c>
    </row>
    <row r="3"/>
    <row r="4" ht="15" customHeight="1" s="68">
      <c r="A4" s="1" t="inlineStr">
        <is>
          <t>분석 대상 월: 2025년 05월</t>
        </is>
      </c>
    </row>
    <row r="5" ht="15" customHeight="1" s="68">
      <c r="A5" s="1" t="inlineStr">
        <is>
          <t>보고 일자: 2025-05-6-02</t>
        </is>
      </c>
    </row>
    <row r="6"/>
    <row r="7" ht="20.1" customHeight="1" s="68">
      <c r="A7" s="6" t="inlineStr">
        <is>
          <t>1. 분석 개요 (Overview)</t>
        </is>
      </c>
    </row>
    <row r="8" ht="30" customHeight="1" s="68">
      <c r="A8" s="38" t="inlineStr">
        <is>
          <t>에너지원</t>
        </is>
      </c>
      <c r="B8" s="37" t="inlineStr">
        <is>
          <t>전력</t>
        </is>
      </c>
      <c r="C8" s="69" t="n"/>
      <c r="D8" s="70" t="n"/>
      <c r="E8" s="38" t="inlineStr">
        <is>
          <t>공급 단위</t>
        </is>
      </c>
      <c r="F8" s="70" t="n"/>
      <c r="G8" s="37" t="inlineStr">
        <is>
          <t>kWh</t>
        </is>
      </c>
      <c r="H8" s="69" t="n"/>
      <c r="I8" s="70" t="n"/>
    </row>
    <row r="9" ht="30" customHeight="1" s="68">
      <c r="A9" s="38" t="inlineStr">
        <is>
          <t>Main 계량기명</t>
        </is>
      </c>
      <c r="B9" s="37" t="inlineStr">
        <is>
          <t>한전 인입 메인 (#1 VCB)</t>
        </is>
      </c>
      <c r="C9" s="69" t="n"/>
      <c r="D9" s="70" t="n"/>
      <c r="E9" s="38" t="inlineStr">
        <is>
          <t>계량기 번호</t>
        </is>
      </c>
      <c r="F9" s="70" t="n"/>
      <c r="G9" s="37" t="inlineStr">
        <is>
          <t>5321-9876</t>
        </is>
      </c>
      <c r="H9" s="69" t="n"/>
      <c r="I9" s="70" t="n"/>
    </row>
    <row r="10"/>
    <row r="11" ht="20.1" customHeight="1" s="68">
      <c r="A11" s="6" t="inlineStr">
        <is>
          <t>2. 수급 데이터 (Data Input)</t>
        </is>
      </c>
    </row>
    <row r="12" ht="24.95" customHeight="1" s="68" thickBot="1">
      <c r="A12" s="39" t="inlineStr">
        <is>
          <t>A. 공급량 (Main Input)</t>
        </is>
      </c>
      <c r="B12" s="71" t="n"/>
      <c r="D12" s="39" t="inlineStr">
        <is>
          <t>B. 소비량 합계 (Total Consumption)</t>
        </is>
      </c>
      <c r="E12" s="72" t="n"/>
      <c r="F12" s="72" t="n"/>
      <c r="G12" s="72" t="n"/>
      <c r="H12" s="72" t="n"/>
      <c r="I12" s="71" t="n"/>
    </row>
    <row r="13" ht="24.95" customHeight="1" s="68" thickTop="1">
      <c r="A13" s="25" t="inlineStr">
        <is>
          <t>항목</t>
        </is>
      </c>
      <c r="B13" s="31" t="inlineStr">
        <is>
          <t>값</t>
        </is>
      </c>
      <c r="D13" s="25" t="inlineStr">
        <is>
          <t>계측 지점 (Sub Meter)</t>
        </is>
      </c>
      <c r="E13" s="73" t="n"/>
      <c r="F13" s="26" t="inlineStr">
        <is>
          <t>사용량</t>
        </is>
      </c>
      <c r="G13" s="73" t="n"/>
      <c r="H13" s="26" t="inlineStr">
        <is>
          <t>비고</t>
        </is>
      </c>
      <c r="I13" s="73" t="n"/>
    </row>
    <row r="14" ht="24.95" customHeight="1" s="68">
      <c r="A14" s="18" t="inlineStr">
        <is>
          <t>Main 계량값</t>
        </is>
      </c>
      <c r="B14" s="74" t="n">
        <v>125000</v>
      </c>
      <c r="D14" s="27" t="inlineStr">
        <is>
          <t>A동 분전반 (생산)</t>
        </is>
      </c>
      <c r="E14" s="75" t="n"/>
      <c r="F14" s="76" t="n">
        <v>65000</v>
      </c>
      <c r="G14" s="75" t="n"/>
      <c r="H14" s="28" t="inlineStr">
        <is>
          <t>계측</t>
        </is>
      </c>
      <c r="I14" s="75" t="n"/>
    </row>
    <row r="15" ht="24.95" customHeight="1" s="68">
      <c r="A15" s="16" t="inlineStr">
        <is>
          <t>보정 계수</t>
        </is>
      </c>
      <c r="B15" s="77" t="n">
        <v>1</v>
      </c>
      <c r="D15" s="29" t="inlineStr">
        <is>
          <t>B동 분전반 (생산)</t>
        </is>
      </c>
      <c r="E15" s="78" t="n"/>
      <c r="F15" s="79" t="n">
        <v>42000</v>
      </c>
      <c r="G15" s="78" t="n"/>
      <c r="H15" s="30" t="inlineStr">
        <is>
          <t>계측</t>
        </is>
      </c>
      <c r="I15" s="78" t="n"/>
    </row>
    <row r="16" ht="24.95" customHeight="1" s="68">
      <c r="A16" s="14" t="n"/>
      <c r="B16" s="80" t="n"/>
      <c r="D16" s="29" t="inlineStr">
        <is>
          <t>공무동 (유틸리티)</t>
        </is>
      </c>
      <c r="E16" s="78" t="n"/>
      <c r="F16" s="79" t="n">
        <v>12000</v>
      </c>
      <c r="G16" s="78" t="n"/>
      <c r="H16" s="30" t="inlineStr">
        <is>
          <t>계측</t>
        </is>
      </c>
      <c r="I16" s="78" t="n"/>
    </row>
    <row r="17" ht="24.95" customHeight="1" s="68">
      <c r="A17" s="14" t="n"/>
      <c r="B17" s="80" t="n"/>
      <c r="D17" s="29" t="inlineStr">
        <is>
          <t>사무동 (조명/냉난방)</t>
        </is>
      </c>
      <c r="E17" s="78" t="n"/>
      <c r="F17" s="79" t="n">
        <v>3500</v>
      </c>
      <c r="G17" s="78" t="n"/>
      <c r="H17" s="30" t="inlineStr">
        <is>
          <t>미계측 (추정)</t>
        </is>
      </c>
      <c r="I17" s="78" t="n"/>
    </row>
    <row r="18" ht="24.95" customHeight="1" s="68">
      <c r="A18" s="14" t="n"/>
      <c r="B18" s="80" t="n"/>
      <c r="D18" s="34" t="inlineStr">
        <is>
          <t>변압기/선로 손실 (Loss)</t>
        </is>
      </c>
      <c r="E18" s="78" t="n"/>
      <c r="F18" s="81" t="n">
        <v>1500</v>
      </c>
      <c r="G18" s="78" t="n"/>
      <c r="H18" s="35" t="inlineStr">
        <is>
          <t>총량의 1.2% 적용</t>
        </is>
      </c>
      <c r="I18" s="78" t="n"/>
    </row>
    <row r="19" ht="24.95" customHeight="1" s="68">
      <c r="A19" s="12" t="n"/>
      <c r="B19" s="82" t="n"/>
      <c r="D19" s="52" t="n"/>
      <c r="E19" s="83" t="n"/>
      <c r="F19" s="84" t="n"/>
      <c r="G19" s="83" t="n"/>
      <c r="H19" s="47" t="n"/>
      <c r="I19" s="83" t="n"/>
    </row>
    <row r="20" ht="24.95" customHeight="1" s="68">
      <c r="A20" s="10" t="inlineStr">
        <is>
          <t>총 공급(A)</t>
        </is>
      </c>
      <c r="B20" s="85" t="n">
        <v>125000</v>
      </c>
      <c r="C20" s="8" t="n"/>
      <c r="D20" s="53" t="inlineStr">
        <is>
          <t>총 소비 (B)</t>
        </is>
      </c>
      <c r="E20" s="86" t="n"/>
      <c r="F20" s="87" t="n">
        <v>124000</v>
      </c>
      <c r="G20" s="86" t="n"/>
      <c r="H20" s="49" t="n"/>
      <c r="I20" s="86" t="n"/>
    </row>
    <row r="21"/>
    <row r="22" ht="20.1" customHeight="1" s="68">
      <c r="A22" s="6" t="inlineStr">
        <is>
          <t>3. 밸런스 분석 결과 (Result)</t>
        </is>
      </c>
    </row>
    <row r="23" ht="35.1" customHeight="1" s="68">
      <c r="A23" s="51" t="inlineStr">
        <is>
          <t>차이 (Difference)
(A - B)</t>
        </is>
      </c>
      <c r="B23" s="70" t="n"/>
      <c r="C23" s="51" t="inlineStr">
        <is>
          <t>오차율 (Error Rate)
(|A-B| ÷ A × 100)</t>
        </is>
      </c>
      <c r="D23" s="69" t="n"/>
      <c r="E23" s="70" t="n"/>
      <c r="F23" s="51" t="inlineStr">
        <is>
          <t>허용 기준 
(Threshold)</t>
        </is>
      </c>
      <c r="G23" s="70" t="n"/>
      <c r="H23" s="51" t="inlineStr">
        <is>
          <t>최종 판정 
(Judgment)</t>
        </is>
      </c>
      <c r="I23" s="70" t="n"/>
    </row>
    <row r="24" ht="42" customHeight="1" s="68">
      <c r="A24" s="54" t="n">
        <v>1000</v>
      </c>
      <c r="B24" s="70" t="n"/>
      <c r="C24" s="56" t="n">
        <v>0.008</v>
      </c>
      <c r="D24" s="69" t="n"/>
      <c r="E24" s="70" t="n"/>
      <c r="F24" s="57" t="inlineStr">
        <is>
          <t>± 2.0  % 이내</t>
        </is>
      </c>
      <c r="G24" s="70" t="n"/>
      <c r="H24" s="58" t="inlineStr">
        <is>
          <t>적합</t>
        </is>
      </c>
      <c r="I24" s="70" t="n"/>
    </row>
    <row r="25"/>
    <row r="26" ht="20.1" customHeight="1" s="68">
      <c r="A26" s="6" t="inlineStr">
        <is>
          <t>4. 원인 분석 및 조치 (Action Plan)</t>
        </is>
      </c>
    </row>
    <row r="27" ht="20.1" customHeight="1" s="68">
      <c r="A27" s="60" t="inlineStr">
        <is>
          <t>오차 발생 내역</t>
        </is>
      </c>
      <c r="B27" s="75" t="n"/>
      <c r="C27" s="61" t="inlineStr">
        <is>
          <t>원인</t>
        </is>
      </c>
      <c r="D27" s="75" t="n"/>
      <c r="E27" s="61" t="inlineStr">
        <is>
          <t>조치 내역</t>
        </is>
      </c>
      <c r="F27" s="88" t="n"/>
      <c r="G27" s="88" t="n"/>
      <c r="H27" s="75" t="n"/>
      <c r="I27" s="5" t="inlineStr">
        <is>
          <t>비고</t>
        </is>
      </c>
    </row>
    <row r="28" ht="20.1" customHeight="1" s="68">
      <c r="A28" s="62" t="n"/>
      <c r="B28" s="78" t="n"/>
      <c r="C28" s="30" t="inlineStr">
        <is>
          <t>계측기 고장</t>
        </is>
      </c>
      <c r="D28" s="78" t="n"/>
      <c r="E28" s="63" t="n"/>
      <c r="F28" s="89" t="n"/>
      <c r="G28" s="89" t="n"/>
      <c r="H28" s="78" t="n"/>
      <c r="I28" s="4" t="n"/>
    </row>
    <row r="29" ht="20.1" customHeight="1" s="68">
      <c r="A29" s="62" t="n"/>
      <c r="B29" s="78" t="n"/>
      <c r="C29" s="30" t="inlineStr">
        <is>
          <t>누락부하 발견</t>
        </is>
      </c>
      <c r="D29" s="78" t="n"/>
      <c r="E29" s="63" t="n"/>
      <c r="F29" s="89" t="n"/>
      <c r="G29" s="89" t="n"/>
      <c r="H29" s="78" t="n"/>
      <c r="I29" s="4" t="n"/>
    </row>
    <row r="30" ht="20.1" customHeight="1" s="68">
      <c r="A30" s="62" t="n"/>
      <c r="B30" s="78" t="n"/>
      <c r="C30" s="30" t="inlineStr">
        <is>
          <t>검침 시점 차이</t>
        </is>
      </c>
      <c r="D30" s="78" t="n"/>
      <c r="E30" s="63" t="n"/>
      <c r="F30" s="89" t="n"/>
      <c r="G30" s="89" t="n"/>
      <c r="H30" s="78" t="n"/>
      <c r="I30" s="4" t="n"/>
    </row>
    <row r="31" ht="20.1" customHeight="1" s="68">
      <c r="A31" s="62" t="n"/>
      <c r="B31" s="78" t="n"/>
      <c r="C31" s="30" t="inlineStr">
        <is>
          <t>기타 (          )</t>
        </is>
      </c>
      <c r="D31" s="78" t="n"/>
      <c r="E31" s="63" t="n"/>
      <c r="F31" s="89" t="n"/>
      <c r="G31" s="89" t="n"/>
      <c r="H31" s="78" t="n"/>
      <c r="I31" s="4" t="n"/>
    </row>
    <row r="32" ht="20.1" customHeight="1" s="68">
      <c r="A32" s="62" t="n"/>
      <c r="B32" s="78" t="n"/>
      <c r="C32" s="64" t="n"/>
      <c r="D32" s="78" t="n"/>
      <c r="E32" s="63" t="n"/>
      <c r="F32" s="89" t="n"/>
      <c r="G32" s="89" t="n"/>
      <c r="H32" s="78" t="n"/>
      <c r="I32" s="4" t="n"/>
    </row>
    <row r="33" ht="20.1" customHeight="1" s="68">
      <c r="A33" s="62" t="n"/>
      <c r="B33" s="78" t="n"/>
      <c r="C33" s="64" t="n"/>
      <c r="D33" s="78" t="n"/>
      <c r="E33" s="63" t="n"/>
      <c r="F33" s="89" t="n"/>
      <c r="G33" s="89" t="n"/>
      <c r="H33" s="78" t="n"/>
      <c r="I33" s="4" t="n"/>
    </row>
    <row r="34" ht="20.1" customHeight="1" s="68">
      <c r="A34" s="65" t="n"/>
      <c r="B34" s="83" t="n"/>
      <c r="C34" s="67" t="n"/>
      <c r="D34" s="83" t="n"/>
      <c r="E34" s="66" t="n"/>
      <c r="F34" s="90" t="n"/>
      <c r="G34" s="90" t="n"/>
      <c r="H34" s="83" t="n"/>
      <c r="I34" s="3" t="n"/>
    </row>
    <row r="35" ht="15" customHeight="1" s="68">
      <c r="A35" s="2" t="inlineStr">
        <is>
          <t>* 오차 발생 원인 및 조치 내역 (최종 판정 '부적합' 시 필수 작성)</t>
        </is>
      </c>
    </row>
  </sheetData>
  <mergeCells count="64">
    <mergeCell ref="C34:D34"/>
    <mergeCell ref="D20:E20"/>
    <mergeCell ref="A30:B30"/>
    <mergeCell ref="A24:B24"/>
    <mergeCell ref="C30:D30"/>
    <mergeCell ref="H20:I20"/>
    <mergeCell ref="F16:G16"/>
    <mergeCell ref="C33:D33"/>
    <mergeCell ref="D19:E19"/>
    <mergeCell ref="B8:D8"/>
    <mergeCell ref="F19:G19"/>
    <mergeCell ref="E32:H32"/>
    <mergeCell ref="E8:F8"/>
    <mergeCell ref="C29:D29"/>
    <mergeCell ref="F24:G24"/>
    <mergeCell ref="F15:G15"/>
    <mergeCell ref="D13:E13"/>
    <mergeCell ref="C23:E23"/>
    <mergeCell ref="F20:G20"/>
    <mergeCell ref="F18:G18"/>
    <mergeCell ref="B9:D9"/>
    <mergeCell ref="D12:I12"/>
    <mergeCell ref="E33:H33"/>
    <mergeCell ref="A27:B27"/>
    <mergeCell ref="C31:D31"/>
    <mergeCell ref="E9:F9"/>
    <mergeCell ref="F17:G17"/>
    <mergeCell ref="D17:E17"/>
    <mergeCell ref="A12:B12"/>
    <mergeCell ref="H17:I17"/>
    <mergeCell ref="D16:E16"/>
    <mergeCell ref="H16:I16"/>
    <mergeCell ref="A33:B33"/>
    <mergeCell ref="C27:D27"/>
    <mergeCell ref="F23:G23"/>
    <mergeCell ref="A32:B32"/>
    <mergeCell ref="G9:I9"/>
    <mergeCell ref="E29:H29"/>
    <mergeCell ref="H19:I19"/>
    <mergeCell ref="A23:B23"/>
    <mergeCell ref="D18:E18"/>
    <mergeCell ref="F13:G13"/>
    <mergeCell ref="H13:I13"/>
    <mergeCell ref="E28:H28"/>
    <mergeCell ref="C24:E24"/>
    <mergeCell ref="C32:D32"/>
    <mergeCell ref="A29:B29"/>
    <mergeCell ref="E31:H31"/>
    <mergeCell ref="D15:E15"/>
    <mergeCell ref="E34:H34"/>
    <mergeCell ref="H24:I24"/>
    <mergeCell ref="H15:I15"/>
    <mergeCell ref="A28:B28"/>
    <mergeCell ref="E30:H30"/>
    <mergeCell ref="H18:I18"/>
    <mergeCell ref="C28:D28"/>
    <mergeCell ref="G8:I8"/>
    <mergeCell ref="H23:I23"/>
    <mergeCell ref="F14:G14"/>
    <mergeCell ref="D14:E14"/>
    <mergeCell ref="H14:I14"/>
    <mergeCell ref="A31:B31"/>
    <mergeCell ref="E27:H27"/>
    <mergeCell ref="A34:B34"/>
  </mergeCells>
  <conditionalFormatting sqref="H24:I24">
    <cfRule type="cellIs" priority="1" operator="equal" dxfId="1">
      <formula>"부적합"</formula>
    </cfRule>
    <cfRule type="cellIs" priority="2" operator="equal" dxfId="0">
      <formula>"적합"</formula>
    </cfRule>
  </conditionalFormatting>
  <pageMargins left="0.2362204724409449" right="0.2362204724409449" top="0.5511811023622047" bottom="0.3543307086614173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2026-01-30T08:31:53Z</dcterms:created>
  <dcterms:modified xmlns:dcterms="http://purl.org/dc/terms/" xmlns:xsi="http://www.w3.org/2001/XMLSchema-instance" xsi:type="dcterms:W3CDTF">2026-09-22T05:57:52Z</dcterms:modified>
  <cp:lastModifiedBy>홍덕 김</cp:lastModifiedBy>
</cp:coreProperties>
</file>