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90" yWindow="4290" windowWidth="28800" windowHeight="15345" tabRatio="600" firstSheet="0" activeTab="0" autoFilterDateGrouping="1"/>
  </bookViews>
  <sheets>
    <sheet xmlns:r="http://schemas.openxmlformats.org/officeDocument/2006/relationships" name="에너지 성과 모니터링 및 CUSUM 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8"/>
    </font>
    <font>
      <name val="나눔스퀘어"/>
      <charset val="129"/>
      <family val="3"/>
      <color theme="0" tint="-0.249977111117893"/>
      <sz val="10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i val="1"/>
      <color theme="1"/>
      <sz val="12"/>
    </font>
    <font>
      <name val="나눔스퀘어"/>
      <charset val="129"/>
      <family val="3"/>
      <b val="1"/>
      <color theme="0" tint="-0.249977111117893"/>
      <sz val="11"/>
    </font>
    <font>
      <name val="나눔스퀘어"/>
      <charset val="129"/>
      <family val="3"/>
      <color theme="0" tint="-0.249977111117893"/>
      <sz val="11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6"/>
    </font>
    <font>
      <name val="나눔스퀘어"/>
      <charset val="129"/>
      <family val="3"/>
      <color theme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horizontal="center" vertical="center"/>
    </xf>
    <xf numFmtId="3" fontId="4" fillId="0" borderId="7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horizontal="center" vertical="center"/>
    </xf>
    <xf numFmtId="3" fontId="4" fillId="0" borderId="10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1" fillId="0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4" fillId="0" borderId="17" applyAlignment="1" pivotButton="0" quotePrefix="0" xfId="0">
      <alignment vertical="center"/>
    </xf>
    <xf numFmtId="0" fontId="1" fillId="2" borderId="13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0" fillId="0" borderId="27" applyAlignment="1" pivotButton="0" quotePrefix="0" xfId="0">
      <alignment horizontal="right" vertical="center"/>
    </xf>
    <xf numFmtId="0" fontId="9" fillId="0" borderId="27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" fillId="2" borderId="26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 wrapText="1"/>
    </xf>
    <xf numFmtId="0" fontId="1" fillId="2" borderId="21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28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4" pivotButton="0" quotePrefix="0" xfId="0"/>
    <xf numFmtId="0" fontId="0" fillId="0" borderId="21" pivotButton="0" quotePrefix="0" xfId="0"/>
    <xf numFmtId="0" fontId="8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18" pivotButton="0" quotePrefix="0" xfId="0"/>
    <xf numFmtId="0" fontId="7" fillId="0" borderId="6" applyAlignment="1" pivotButton="0" quotePrefix="0" xfId="0">
      <alignment horizontal="center" vertical="center"/>
    </xf>
    <xf numFmtId="0" fontId="0" fillId="0" borderId="15" pivotButton="0" quotePrefix="0" xfId="0"/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스퀘어 Bold" panose="020B0600000101010101" pitchFamily="50" charset="-127"/>
                <a:ea typeface="나눔스퀘어 Bold" panose="020B0600000101010101" pitchFamily="50" charset="-127"/>
                <a:cs typeface="+mn-cs"/>
              </a:defRPr>
            </a:pPr>
            <a:r>
              <a:rPr lang="en-US" altLang="ko-KR" sz="1100">
                <a:latin typeface="나눔스퀘어 Bold" panose="020B0600000101010101" pitchFamily="50" charset="-127"/>
                <a:ea typeface="나눔스퀘어 Bold" panose="020B0600000101010101" pitchFamily="50" charset="-127"/>
              </a:rPr>
              <a:t>CUSUM (</a:t>
            </a:r>
            <a:r>
              <a:rPr lang="ko-KR" altLang="en-US" sz="1100">
                <a:latin typeface="나눔스퀘어 Bold" panose="020B0600000101010101" pitchFamily="50" charset="-127"/>
                <a:ea typeface="나눔스퀘어 Bold" panose="020B0600000101010101" pitchFamily="50" charset="-127"/>
              </a:rPr>
              <a:t>누적 성과</a:t>
            </a:r>
            <a:r>
              <a:rPr lang="en-US" altLang="ko-KR" sz="1100">
                <a:latin typeface="나눔스퀘어 Bold" panose="020B0600000101010101" pitchFamily="50" charset="-127"/>
                <a:ea typeface="나눔스퀘어 Bold" panose="020B0600000101010101" pitchFamily="50" charset="-127"/>
              </a:rPr>
              <a:t>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나눔스퀘어 Bold" panose="020B0600000101010101" pitchFamily="50" charset="-127"/>
              <a:ea typeface="나눔스퀘어 Bold" panose="020B0600000101010101" pitchFamily="50" charset="-127"/>
              <a:cs typeface="+mn-cs"/>
            </a:defRPr>
          </a:pPr>
          <a:r>
            <a:t>None</a:t>
          </a:r>
          <a:endParaRPr lang="ko-K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'에너지 성과 모니터링 및 CUSUM 대장'!$F$12</f>
              <strCache>
                <ptCount val="1"/>
                <pt idx="0">
                  <v>CUSUM
(누적 성과)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val>
            <numRef>
              <f>'에너지 성과 모니터링 및 CUSUM 대장'!$F$13:$F$24</f>
              <numCache>
                <formatCode>#,##0</formatCode>
                <ptCount val="12"/>
                <pt idx="0">
                  <v>300</v>
                </pt>
                <pt idx="1">
                  <v>700</v>
                </pt>
                <pt idx="2">
                  <v>2900</v>
                </pt>
                <pt idx="3">
                  <v>1400</v>
                </pt>
                <pt idx="4">
                  <v>1300</v>
                </pt>
                <pt idx="5">
                  <v>-2150</v>
                </pt>
                <pt idx="6">
                  <v>-200</v>
                </pt>
                <pt idx="7">
                  <v>2515</v>
                </pt>
                <pt idx="8">
                  <v>1715</v>
                </pt>
                <pt idx="9">
                  <v>3715</v>
                </pt>
                <pt idx="10">
                  <v>2515</v>
                </pt>
                <pt idx="11">
                  <v>3015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16078416"/>
        <axId val="1616080816"/>
      </lineChart>
      <catAx>
        <axId val="1616078416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616080816"/>
        <crosses val="autoZero"/>
        <auto val="1"/>
        <lblAlgn val="ctr"/>
        <lblOffset val="100"/>
        <noMultiLvlLbl val="0"/>
      </catAx>
      <valAx>
        <axId val="16160808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61607841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57149</colOff>
      <row>29</row>
      <rowOff>95250</rowOff>
    </from>
    <to>
      <col>7</col>
      <colOff>1219199</colOff>
      <row>39</row>
      <rowOff>95250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tabSelected="1" zoomScaleNormal="100" workbookViewId="0">
      <selection activeCell="K7" sqref="K7"/>
    </sheetView>
  </sheetViews>
  <sheetFormatPr baseColWidth="8" defaultRowHeight="20.1" customHeight="1"/>
  <cols>
    <col width="8.625" customWidth="1" style="1" min="1" max="1"/>
    <col width="10.125" customWidth="1" style="1" min="2" max="6"/>
    <col width="8.625" customWidth="1" style="2" min="7" max="7"/>
    <col width="17.625" customWidth="1" style="1" min="8" max="8"/>
    <col width="9" customWidth="1" style="1" min="9" max="16384"/>
  </cols>
  <sheetData>
    <row r="1" ht="20.1" customHeight="1" s="47">
      <c r="A1" s="36" t="inlineStr">
        <is>
          <t>양식번호: {{DOC_PREFIX}}-EG-103-04</t>
        </is>
      </c>
      <c r="G1" s="1" t="n"/>
    </row>
    <row r="2" ht="30" customFormat="1" customHeight="1" s="31" thickBot="1">
      <c r="A2" s="35" t="inlineStr">
        <is>
          <t>에너지 성과 모니터링 및 CUSUM 대장</t>
        </is>
      </c>
      <c r="B2" s="34" t="n"/>
      <c r="C2" s="34" t="n"/>
      <c r="D2" s="34" t="n"/>
      <c r="E2" s="34" t="n"/>
      <c r="F2" s="34" t="n"/>
      <c r="G2" s="34" t="n"/>
      <c r="H2" s="33" t="inlineStr">
        <is>
          <t>{{COMPANY_NAME}}</t>
        </is>
      </c>
    </row>
    <row r="3" ht="15" customFormat="1" customHeight="1" s="31">
      <c r="A3" s="1" t="n"/>
      <c r="B3" s="1" t="n"/>
      <c r="C3" s="1" t="n"/>
      <c r="D3" s="1" t="n"/>
      <c r="E3" s="1" t="n"/>
      <c r="F3" s="1" t="n"/>
      <c r="G3" s="1" t="n"/>
      <c r="H3" s="32" t="n"/>
    </row>
    <row r="4" ht="15" customFormat="1" customHeight="1" s="31">
      <c r="A4" s="1" t="inlineStr">
        <is>
          <t xml:space="preserve">작성일: </t>
        </is>
      </c>
      <c r="B4" s="1" t="n"/>
      <c r="C4" s="1" t="n"/>
      <c r="D4" s="1" t="n"/>
      <c r="E4" s="1" t="n"/>
      <c r="F4" s="1" t="n"/>
      <c r="G4" s="1" t="n"/>
      <c r="H4" s="32" t="n"/>
    </row>
    <row r="5" ht="15" customFormat="1" customHeight="1" s="31">
      <c r="A5" s="1" t="inlineStr">
        <is>
          <t>작성자(부서/성명):</t>
        </is>
      </c>
      <c r="B5" s="1" t="n"/>
      <c r="C5" s="1" t="n"/>
      <c r="D5" s="1" t="n"/>
      <c r="E5" s="1" t="n"/>
      <c r="F5" s="1" t="n"/>
      <c r="G5" s="1" t="n"/>
      <c r="H5" s="32" t="n"/>
    </row>
    <row r="6" ht="15" customFormat="1" customHeight="1" s="31">
      <c r="A6" s="1" t="n"/>
      <c r="B6" s="1" t="n"/>
      <c r="C6" s="1" t="n"/>
      <c r="D6" s="1" t="n"/>
      <c r="E6" s="1" t="n"/>
      <c r="F6" s="1" t="n"/>
      <c r="G6" s="1" t="n"/>
      <c r="H6" s="32" t="n"/>
    </row>
    <row r="7" ht="20.1" customHeight="1" s="47" thickBot="1">
      <c r="A7" s="26" t="inlineStr">
        <is>
          <t>1. 에너지 베이스라인 모델 정보 (EnB Model Information)</t>
        </is>
      </c>
    </row>
    <row r="8" ht="20.1" customHeight="1" s="47">
      <c r="A8" s="48" t="inlineStr">
        <is>
          <t>분석대상 에너지 측면(장비, 장소)</t>
        </is>
      </c>
      <c r="B8" s="49" t="n"/>
      <c r="C8" s="49" t="n"/>
      <c r="D8" s="50" t="n"/>
      <c r="E8" s="30" t="inlineStr">
        <is>
          <t>a(변동원단위)</t>
        </is>
      </c>
      <c r="F8" s="29" t="inlineStr">
        <is>
          <t>b(기저부하)</t>
        </is>
      </c>
      <c r="G8" s="23" t="inlineStr">
        <is>
          <t>적용 베이스라인 모델</t>
        </is>
      </c>
      <c r="H8" s="51" t="n"/>
    </row>
    <row r="9" ht="24.95" customHeight="1" s="47" thickBot="1">
      <c r="A9" s="52" t="n"/>
      <c r="B9" s="53" t="n"/>
      <c r="C9" s="53" t="n"/>
      <c r="D9" s="54" t="n"/>
      <c r="E9" s="28" t="n">
        <v>35</v>
      </c>
      <c r="F9" s="16" t="n">
        <v>500</v>
      </c>
      <c r="G9" s="55" t="inlineStr">
        <is>
          <t>Y=35X + 500</t>
        </is>
      </c>
      <c r="H9" s="56" t="n"/>
    </row>
    <row r="10" ht="9.949999999999999" customHeight="1" s="47">
      <c r="A10" s="27" t="n"/>
      <c r="B10" s="27" t="n"/>
      <c r="C10" s="27" t="n"/>
      <c r="D10" s="27" t="n"/>
      <c r="H10" s="2" t="n"/>
    </row>
    <row r="11" ht="20.1" customHeight="1" s="47">
      <c r="A11" s="26" t="inlineStr">
        <is>
          <t>2. 월별 성과 관리표 (Monthly Performance Management Table)</t>
        </is>
      </c>
    </row>
    <row r="12" ht="35.1" customHeight="1" s="47">
      <c r="A12" s="25" t="inlineStr">
        <is>
          <t>월</t>
        </is>
      </c>
      <c r="B12" s="24" t="inlineStr">
        <is>
          <t>활동량 (X)</t>
        </is>
      </c>
      <c r="C12" s="24" t="inlineStr">
        <is>
          <t>예상사용량 
(E)(aX + b)</t>
        </is>
      </c>
      <c r="D12" s="24" t="inlineStr">
        <is>
          <t>실제사용량
 (A)</t>
        </is>
      </c>
      <c r="E12" s="24" t="inlineStr">
        <is>
          <t>성과 (절감량)
(E - A)</t>
        </is>
      </c>
      <c r="F12" s="24" t="inlineStr">
        <is>
          <t>CUSUM
(누적 성과)</t>
        </is>
      </c>
      <c r="G12" s="24" t="inlineStr">
        <is>
          <t>판정</t>
        </is>
      </c>
      <c r="H12" s="23" t="inlineStr">
        <is>
          <t>조치사항</t>
        </is>
      </c>
      <c r="M12" s="0" t="n"/>
    </row>
    <row r="13" ht="20.1" customHeight="1" s="47">
      <c r="A13" s="22" t="n">
        <v>1</v>
      </c>
      <c r="B13" s="20" t="n">
        <v>1000</v>
      </c>
      <c r="C13" s="21">
        <f>$E$9*B13+$F$9</f>
        <v/>
      </c>
      <c r="D13" s="20" t="n">
        <v>35200</v>
      </c>
      <c r="E13" s="20">
        <f>C13-D13</f>
        <v/>
      </c>
      <c r="F13" s="20">
        <f>E13</f>
        <v/>
      </c>
      <c r="G13" s="19">
        <f>IF(F13&gt;=0, "정상", IF(F13&gt;=-1000, "주의", "악화"))</f>
        <v/>
      </c>
      <c r="H13" s="18" t="n"/>
    </row>
    <row r="14" ht="20.1" customHeight="1" s="47">
      <c r="A14" s="22" t="n">
        <v>2</v>
      </c>
      <c r="B14" s="20" t="n">
        <v>1100</v>
      </c>
      <c r="C14" s="21">
        <f>$E$9*B14+$F$9</f>
        <v/>
      </c>
      <c r="D14" s="20" t="n">
        <v>38600</v>
      </c>
      <c r="E14" s="20">
        <f>C14-D14</f>
        <v/>
      </c>
      <c r="F14" s="20">
        <f>F13+E14</f>
        <v/>
      </c>
      <c r="G14" s="19">
        <f>IF(F14&gt;=0, "정상", IF(F14&gt;=-1000, "주의", "악화"))</f>
        <v/>
      </c>
      <c r="H14" s="18" t="n"/>
    </row>
    <row r="15" ht="20.1" customHeight="1" s="47">
      <c r="A15" s="22" t="n">
        <v>3</v>
      </c>
      <c r="B15" s="21" t="n">
        <v>950</v>
      </c>
      <c r="C15" s="21">
        <f>$E$9*B15+$F$9</f>
        <v/>
      </c>
      <c r="D15" s="20" t="n">
        <v>31550</v>
      </c>
      <c r="E15" s="20">
        <f>C15-D15</f>
        <v/>
      </c>
      <c r="F15" s="20">
        <f>F14+E15</f>
        <v/>
      </c>
      <c r="G15" s="19">
        <f>IF(F15&gt;=0, "정상", IF(F15&gt;=-1000, "주의", "악화"))</f>
        <v/>
      </c>
      <c r="H15" s="18" t="n"/>
    </row>
    <row r="16" ht="20.1" customHeight="1" s="47">
      <c r="A16" s="22" t="n">
        <v>4</v>
      </c>
      <c r="B16" s="20" t="n">
        <v>1100</v>
      </c>
      <c r="C16" s="21">
        <f>$E$9*B16+$F$9</f>
        <v/>
      </c>
      <c r="D16" s="20" t="n">
        <v>40500</v>
      </c>
      <c r="E16" s="20">
        <f>C16-D16</f>
        <v/>
      </c>
      <c r="F16" s="20">
        <f>F15+E16</f>
        <v/>
      </c>
      <c r="G16" s="19">
        <f>IF(F16&gt;=0, "정상", IF(F16&gt;=-1000, "주의", "악화"))</f>
        <v/>
      </c>
      <c r="H16" s="18" t="n"/>
    </row>
    <row r="17" ht="20.1" customHeight="1" s="47">
      <c r="A17" s="22" t="n">
        <v>5</v>
      </c>
      <c r="B17" s="20" t="n">
        <v>1150</v>
      </c>
      <c r="C17" s="21">
        <f>$E$9*B17+$F$9</f>
        <v/>
      </c>
      <c r="D17" s="20" t="n">
        <v>40850</v>
      </c>
      <c r="E17" s="20">
        <f>C17-D17</f>
        <v/>
      </c>
      <c r="F17" s="20">
        <f>F16+E17</f>
        <v/>
      </c>
      <c r="G17" s="19">
        <f>IF(F17&gt;=0, "정상", IF(F17&gt;=-1000, "주의", "악화"))</f>
        <v/>
      </c>
      <c r="H17" s="18" t="n"/>
    </row>
    <row r="18" ht="20.1" customHeight="1" s="47">
      <c r="A18" s="22" t="n">
        <v>6</v>
      </c>
      <c r="B18" s="20" t="n">
        <v>950</v>
      </c>
      <c r="C18" s="21">
        <f>$E$9*B18+$F$9</f>
        <v/>
      </c>
      <c r="D18" s="20" t="n">
        <v>37200</v>
      </c>
      <c r="E18" s="20">
        <f>C18-D18</f>
        <v/>
      </c>
      <c r="F18" s="20">
        <f>F17+E18</f>
        <v/>
      </c>
      <c r="G18" s="19">
        <f>IF(F18&gt;=0, "정상", IF(F18&gt;=-1000, "주의", "악화"))</f>
        <v/>
      </c>
      <c r="H18" s="18" t="n"/>
    </row>
    <row r="19" ht="20.1" customHeight="1" s="47">
      <c r="A19" s="22" t="n">
        <v>7</v>
      </c>
      <c r="B19" s="21" t="n">
        <v>970</v>
      </c>
      <c r="C19" s="21">
        <f>$E$9*B19+$F$9</f>
        <v/>
      </c>
      <c r="D19" s="20" t="n">
        <v>32500</v>
      </c>
      <c r="E19" s="20">
        <f>C19-D19</f>
        <v/>
      </c>
      <c r="F19" s="20">
        <f>F18+E19</f>
        <v/>
      </c>
      <c r="G19" s="19">
        <f>IF(F19&gt;=0, "정상", IF(F19&gt;=-1000, "주의", "악화"))</f>
        <v/>
      </c>
      <c r="H19" s="18" t="n"/>
    </row>
    <row r="20" ht="20.1" customHeight="1" s="47">
      <c r="A20" s="22" t="n">
        <v>8</v>
      </c>
      <c r="B20" s="21" t="n">
        <v>1189</v>
      </c>
      <c r="C20" s="21">
        <f>$E$9*B20+$F$9</f>
        <v/>
      </c>
      <c r="D20" s="20" t="n">
        <v>39400</v>
      </c>
      <c r="E20" s="20">
        <f>C20-D20</f>
        <v/>
      </c>
      <c r="F20" s="20">
        <f>F19+E20</f>
        <v/>
      </c>
      <c r="G20" s="19">
        <f>IF(F20&gt;=0, "정상", IF(F20&gt;=-1000, "주의", "악화"))</f>
        <v/>
      </c>
      <c r="H20" s="18" t="n"/>
    </row>
    <row r="21" ht="20.1" customHeight="1" s="47">
      <c r="A21" s="22" t="n">
        <v>9</v>
      </c>
      <c r="B21" s="20" t="n">
        <v>1120</v>
      </c>
      <c r="C21" s="21">
        <f>$E$9*B21+$F$9</f>
        <v/>
      </c>
      <c r="D21" s="20" t="n">
        <v>40500</v>
      </c>
      <c r="E21" s="20">
        <f>C21-D21</f>
        <v/>
      </c>
      <c r="F21" s="20">
        <f>F20+E21</f>
        <v/>
      </c>
      <c r="G21" s="19">
        <f>IF(F21&gt;=0, "정상", IF(F21&gt;=-1000, "주의", "악화"))</f>
        <v/>
      </c>
      <c r="H21" s="18" t="n"/>
    </row>
    <row r="22" ht="20.1" customHeight="1" s="47">
      <c r="A22" s="22" t="n">
        <v>10</v>
      </c>
      <c r="B22" s="20" t="n">
        <v>1250</v>
      </c>
      <c r="C22" s="21">
        <f>$E$9*B22+$F$9</f>
        <v/>
      </c>
      <c r="D22" s="20" t="n">
        <v>42250</v>
      </c>
      <c r="E22" s="20">
        <f>C22-D22</f>
        <v/>
      </c>
      <c r="F22" s="20">
        <f>F21+E22</f>
        <v/>
      </c>
      <c r="G22" s="19">
        <f>IF(F22&gt;=0, "정상", IF(F22&gt;=-1000, "주의", "악화"))</f>
        <v/>
      </c>
      <c r="H22" s="18" t="n"/>
    </row>
    <row r="23" ht="20.1" customHeight="1" s="47">
      <c r="A23" s="22" t="n">
        <v>11</v>
      </c>
      <c r="B23" s="20" t="n">
        <v>1300</v>
      </c>
      <c r="C23" s="21">
        <f>$E$9*B23+$F$9</f>
        <v/>
      </c>
      <c r="D23" s="20" t="n">
        <v>47200</v>
      </c>
      <c r="E23" s="20">
        <f>C23-D23</f>
        <v/>
      </c>
      <c r="F23" s="20">
        <f>F22+E23</f>
        <v/>
      </c>
      <c r="G23" s="19">
        <f>IF(F23&gt;=0, "정상", IF(F23&gt;=-1000, "주의", "악화"))</f>
        <v/>
      </c>
      <c r="H23" s="18" t="n"/>
    </row>
    <row r="24" ht="20.1" customHeight="1" s="47">
      <c r="A24" s="17" t="n">
        <v>12</v>
      </c>
      <c r="B24" s="15" t="n">
        <v>1180</v>
      </c>
      <c r="C24" s="16">
        <f>$E$9*B24+$F$9</f>
        <v/>
      </c>
      <c r="D24" s="15" t="n">
        <v>41300</v>
      </c>
      <c r="E24" s="15">
        <f>C24-D24</f>
        <v/>
      </c>
      <c r="F24" s="15">
        <f>F23+E24</f>
        <v/>
      </c>
      <c r="G24" s="14">
        <f>IF(F24&gt;=0, "정상", IF(F24&gt;=-1000, "주의", "악화"))</f>
        <v/>
      </c>
      <c r="H24" s="13" t="n"/>
    </row>
    <row r="25" ht="12" customHeight="1" s="47">
      <c r="A25" s="12" t="inlineStr">
        <is>
          <t>[관리 가이드]</t>
        </is>
      </c>
      <c r="H25" s="7" t="n"/>
    </row>
    <row r="26" ht="12" customHeight="1" s="47">
      <c r="A26" s="12" t="inlineStr">
        <is>
          <t>1.    성과(절감량)이 (+)면 에너지 절감 (Good), (-)면 에너지 과사용 (Bad)</t>
        </is>
      </c>
      <c r="B26" s="11" t="n"/>
      <c r="C26" s="11" t="n"/>
      <c r="E26" s="11" t="n"/>
      <c r="F26" s="11" t="n"/>
      <c r="G26" s="10" t="n"/>
      <c r="H26" s="9" t="n"/>
    </row>
    <row r="27" ht="12" customHeight="1" s="47">
      <c r="A27" s="12" t="inlineStr">
        <is>
          <t>2.    CUSUM 판정:</t>
        </is>
      </c>
      <c r="B27" s="11" t="n"/>
      <c r="C27" s="11" t="n"/>
      <c r="E27" s="11" t="n"/>
      <c r="F27" s="11" t="n"/>
      <c r="G27" s="10" t="n"/>
      <c r="H27" s="9" t="n"/>
    </row>
    <row r="28" ht="12" customHeight="1" s="47">
      <c r="A28" s="12" t="inlineStr">
        <is>
          <t xml:space="preserve">       ○  그래프가 우상향(↗): 지속적 성능 개선 상태,  </t>
        </is>
      </c>
      <c r="B28" s="11" t="n"/>
      <c r="C28" s="11" t="n"/>
      <c r="E28" s="11" t="n"/>
      <c r="F28" s="11" t="n"/>
      <c r="G28" s="10" t="n"/>
      <c r="H28" s="9" t="n"/>
    </row>
    <row r="29" ht="12" customHeight="1" s="47">
      <c r="A29" s="12" t="inlineStr">
        <is>
          <t xml:space="preserve">       ○  그래프가 우하향(↘): 지속적 성능 저하 (설비 노후, 누설 등 점검 필요) </t>
        </is>
      </c>
      <c r="B29" s="11" t="n"/>
      <c r="C29" s="11" t="n"/>
      <c r="E29" s="11" t="n"/>
      <c r="F29" s="11" t="n"/>
      <c r="G29" s="10" t="n"/>
      <c r="H29" s="9" t="n"/>
    </row>
    <row r="30" ht="20.1" customHeight="1" s="47">
      <c r="A30" s="8" t="n"/>
      <c r="H30" s="7" t="n"/>
    </row>
    <row r="31" ht="20.1" customHeight="1" s="47">
      <c r="A31" s="8" t="n"/>
      <c r="H31" s="7" t="n"/>
    </row>
    <row r="32" ht="20.1" customHeight="1" s="47">
      <c r="A32" s="8" t="n"/>
      <c r="H32" s="7" t="n"/>
    </row>
    <row r="33" ht="20.1" customHeight="1" s="47">
      <c r="A33" s="8" t="n"/>
      <c r="H33" s="7" t="n"/>
    </row>
    <row r="34" ht="20.1" customHeight="1" s="47">
      <c r="A34" s="8" t="n"/>
      <c r="H34" s="7" t="n"/>
    </row>
    <row r="35" ht="20.1" customHeight="1" s="47">
      <c r="A35" s="8" t="n"/>
      <c r="H35" s="7" t="n"/>
    </row>
    <row r="36" ht="20.1" customHeight="1" s="47">
      <c r="A36" s="8" t="n"/>
      <c r="H36" s="7" t="n"/>
    </row>
    <row r="37" ht="20.1" customHeight="1" s="47">
      <c r="A37" s="8" t="n"/>
      <c r="H37" s="7" t="n"/>
    </row>
    <row r="38" ht="20.1" customHeight="1" s="47">
      <c r="A38" s="8" t="n"/>
      <c r="H38" s="7" t="n"/>
    </row>
    <row r="39" ht="20.1" customHeight="1" s="47">
      <c r="A39" s="8" t="n"/>
      <c r="H39" s="7" t="n"/>
    </row>
    <row r="40" ht="20.1" customHeight="1" s="47">
      <c r="A40" s="6" t="n"/>
      <c r="B40" s="5" t="n"/>
      <c r="C40" s="5" t="n"/>
      <c r="D40" s="5" t="n"/>
      <c r="E40" s="5" t="n"/>
      <c r="F40" s="5" t="n"/>
      <c r="G40" s="4" t="n"/>
      <c r="H40" s="3" t="n"/>
    </row>
  </sheetData>
  <mergeCells count="4">
    <mergeCell ref="G8:H8"/>
    <mergeCell ref="G9:H9"/>
    <mergeCell ref="A9:D9"/>
    <mergeCell ref="A8:D8"/>
  </mergeCells>
  <conditionalFormatting sqref="G13:G24">
    <cfRule type="cellIs" priority="1" operator="equal" dxfId="1">
      <formula>"주의"</formula>
    </cfRule>
    <cfRule type="cellIs" priority="2" operator="equal" dxfId="0">
      <formula>"악화"</formula>
    </cfRule>
  </conditionalFormatting>
  <printOptions horizontalCentered="1"/>
  <pageMargins left="0.2362204724409449" right="0.2362204724409449" top="0.5511811023622047" bottom="0.3543307086614174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2026-01-30T08:16:00Z</dcterms:created>
  <dcterms:modified xmlns:dcterms="http://purl.org/dc/terms/" xmlns:xsi="http://www.w3.org/2001/XMLSchema-instance" xsi:type="dcterms:W3CDTF">2026-09-22T05:57:52Z</dcterms:modified>
  <cp:lastModifiedBy>홍덕 김</cp:lastModifiedBy>
</cp:coreProperties>
</file>