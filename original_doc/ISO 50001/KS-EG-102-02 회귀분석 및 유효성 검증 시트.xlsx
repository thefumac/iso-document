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회귀분석 및 유효성 검증 시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1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8"/>
    </font>
    <font>
      <name val="나눔스퀘어"/>
      <charset val="129"/>
      <family val="3"/>
      <color theme="0" tint="-0.249977111117893"/>
      <sz val="11"/>
    </font>
    <font>
      <name val="나눔스퀘어"/>
      <charset val="129"/>
      <family val="3"/>
      <color theme="0" tint="-0.249977111117893"/>
      <sz val="10"/>
    </font>
    <font>
      <name val="나눔스퀘어"/>
      <charset val="129"/>
      <family val="3"/>
      <color theme="0" tint="-0.249977111117893"/>
      <sz val="10"/>
      <vertAlign val="superscript"/>
    </font>
    <font>
      <name val="나눔스퀘어"/>
      <charset val="129"/>
      <family val="3"/>
      <b val="1"/>
      <color theme="1"/>
      <sz val="11"/>
    </font>
    <font>
      <name val="나눔스퀘어"/>
      <charset val="129"/>
      <family val="3"/>
      <color rgb="FF1F1F1F"/>
      <sz val="9"/>
    </font>
    <font>
      <name val="나눔스퀘어"/>
      <charset val="129"/>
      <family val="3"/>
      <color rgb="FF1F1F1F"/>
      <sz val="11"/>
    </font>
    <font>
      <name val="나눔스퀘어"/>
      <charset val="129"/>
      <family val="3"/>
      <color theme="1"/>
      <sz val="8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6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9" fillId="0" borderId="9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left" vertical="center" wrapText="1"/>
    </xf>
    <xf numFmtId="2" fontId="5" fillId="0" borderId="10" applyAlignment="1" pivotButton="0" quotePrefix="0" xfId="0">
      <alignment vertical="center"/>
    </xf>
    <xf numFmtId="0" fontId="10" fillId="0" borderId="11" applyAlignment="1" pivotButton="0" quotePrefix="0" xfId="0">
      <alignment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2" fontId="5" fillId="0" borderId="13" applyAlignment="1" pivotButton="0" quotePrefix="0" xfId="0">
      <alignment vertical="center"/>
    </xf>
    <xf numFmtId="0" fontId="10" fillId="0" borderId="14" applyAlignment="1" pivotButton="0" quotePrefix="0" xfId="0">
      <alignment vertical="center" wrapText="1"/>
    </xf>
    <xf numFmtId="0" fontId="10" fillId="2" borderId="15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10" fillId="2" borderId="17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/>
    </xf>
    <xf numFmtId="0" fontId="2" fillId="2" borderId="9" applyAlignment="1" pivotButton="0" quotePrefix="0" xfId="0">
      <alignment vertical="center"/>
    </xf>
    <xf numFmtId="164" fontId="8" fillId="2" borderId="10" applyAlignment="1" pivotButton="0" quotePrefix="0" xfId="0">
      <alignment vertical="center"/>
    </xf>
    <xf numFmtId="0" fontId="2" fillId="2" borderId="11" applyAlignment="1" pivotButton="0" quotePrefix="0" xfId="0">
      <alignment horizontal="center" vertical="center"/>
    </xf>
    <xf numFmtId="0" fontId="2" fillId="2" borderId="18" applyAlignment="1" pivotButton="0" quotePrefix="0" xfId="0">
      <alignment vertical="center"/>
    </xf>
    <xf numFmtId="164" fontId="2" fillId="2" borderId="19" applyAlignment="1" pivotButton="0" quotePrefix="0" xfId="0">
      <alignment vertical="center"/>
    </xf>
    <xf numFmtId="0" fontId="2" fillId="2" borderId="20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164" fontId="5" fillId="0" borderId="10" applyAlignment="1" pivotButton="0" quotePrefix="0" xfId="1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vertical="center"/>
    </xf>
    <xf numFmtId="164" fontId="5" fillId="0" borderId="13" applyAlignment="1" pivotButton="0" quotePrefix="0" xfId="1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164" fontId="5" fillId="0" borderId="16" applyAlignment="1" pivotButton="0" quotePrefix="0" xfId="1">
      <alignment vertical="center"/>
    </xf>
    <xf numFmtId="0" fontId="2" fillId="0" borderId="17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2" fillId="2" borderId="23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0" borderId="24" applyAlignment="1" pivotButton="0" quotePrefix="0" xfId="0">
      <alignment horizontal="right" vertical="center"/>
    </xf>
    <xf numFmtId="0" fontId="13" fillId="0" borderId="24" applyAlignment="1" pivotButton="0" quotePrefix="0" xfId="0">
      <alignment vertical="center"/>
    </xf>
    <xf numFmtId="0" fontId="14" fillId="0" borderId="24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0" fillId="0" borderId="0" pivotButton="0" quotePrefix="0" xfId="0"/>
    <xf numFmtId="164" fontId="5" fillId="0" borderId="16" applyAlignment="1" pivotButton="0" quotePrefix="0" xfId="1">
      <alignment vertical="center"/>
    </xf>
    <xf numFmtId="164" fontId="5" fillId="0" borderId="13" applyAlignment="1" pivotButton="0" quotePrefix="0" xfId="1">
      <alignment vertical="center"/>
    </xf>
    <xf numFmtId="164" fontId="5" fillId="0" borderId="10" applyAlignment="1" pivotButton="0" quotePrefix="0" xfId="1">
      <alignment vertical="center"/>
    </xf>
    <xf numFmtId="164" fontId="2" fillId="2" borderId="19" applyAlignment="1" pivotButton="0" quotePrefix="0" xfId="0">
      <alignment vertical="center"/>
    </xf>
    <xf numFmtId="164" fontId="8" fillId="2" borderId="10" applyAlignment="1" pivotButton="0" quotePrefix="0" xfId="0">
      <alignment vertical="center"/>
    </xf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0" borderId="25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1" pivotButton="0" quotePrefix="0" xfId="0"/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스퀘어 Bold" panose="020B0600000101010101" pitchFamily="50" charset="-127"/>
                <a:ea typeface="나눔스퀘어 Bold" panose="020B0600000101010101" pitchFamily="50" charset="-127"/>
                <a:cs typeface="+mn-cs"/>
              </a:defRPr>
            </a:pPr>
            <a:r>
              <a:rPr lang="ko-KR" sz="1100">
                <a:latin typeface="나눔스퀘어 Bold" panose="020B0600000101010101" pitchFamily="50" charset="-127"/>
                <a:ea typeface="나눔스퀘어 Bold" panose="020B0600000101010101" pitchFamily="50" charset="-127"/>
              </a:rPr>
              <a:t xml:space="preserve">회귀분석 </a:t>
            </a:r>
            <a:r>
              <a:rPr lang="en-US" sz="1100">
                <a:latin typeface="나눔스퀘어 Bold" panose="020B0600000101010101" pitchFamily="50" charset="-127"/>
                <a:ea typeface="나눔스퀘어 Bold" panose="020B0600000101010101" pitchFamily="50" charset="-127"/>
              </a:rPr>
              <a:t>GRAPH</a:t>
            </a:r>
          </a:p>
        </rich>
      </tx>
      <layout>
        <manualLayout>
          <xMode val="edge"/>
          <yMode val="edge"/>
          <wMode val="factor"/>
          <hMode val="factor"/>
          <x val="0.1066676081056665"/>
          <y val="0.09575647265197376"/>
        </manualLayout>
      </layout>
      <overlay val="0"/>
      <spPr>
        <a:solidFill xmlns:a="http://schemas.openxmlformats.org/drawingml/2006/main">
          <a:schemeClr val="accent2">
            <a:lumMod val="20000"/>
            <a:lumOff val="80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나눔스퀘어 Bold" panose="020B0600000101010101" pitchFamily="50" charset="-127"/>
              <a:ea typeface="나눔스퀘어 Bold" panose="020B0600000101010101" pitchFamily="50" charset="-127"/>
              <a:cs typeface="+mn-cs"/>
            </a:defRPr>
          </a:pPr>
          <a:r>
            <a:t>None</a:t>
          </a:r>
          <a:endParaRPr lang="ko-K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481491782039194"/>
          <y val="0.05229507115630645"/>
          <w val="0.879991810714028"/>
          <h val="0.7928086627362535"/>
        </manualLayout>
      </layout>
      <scatterChart>
        <scatterStyle val="lineMarker"/>
        <varyColors val="0"/>
        <ser>
          <idx val="0"/>
          <order val="0"/>
          <tx>
            <strRef>
              <f>'회귀분석 및 유효성 검증 시트'!$C$5</f>
              <strCache>
                <ptCount val="1"/>
                <pt idx="0">
                  <v>에너지 (Y)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 cap="rnd">
                <a:solidFill>
                  <a:schemeClr val="accent1"/>
                </a:solidFill>
                <a:prstDash val="solid"/>
                <a:round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olid"/>
              </a:ln>
            </spPr>
            <trendlineType val="linear"/>
            <dispRSqr val="0"/>
            <dispEq val="0"/>
          </trendline>
          <xVal>
            <numRef>
              <f>'회귀분석 및 유효성 검증 시트'!$B$6:$B$17</f>
              <numCache>
                <formatCode>_(* #,##0_);_(* \(#,##0\);_(* "-"_);_(@_)</formatCode>
                <ptCount val="12"/>
                <pt idx="0">
                  <v>1050</v>
                </pt>
                <pt idx="1">
                  <v>980</v>
                </pt>
                <pt idx="2">
                  <v>1120</v>
                </pt>
                <pt idx="3">
                  <v>1250</v>
                </pt>
                <pt idx="4">
                  <v>1180</v>
                </pt>
                <pt idx="5">
                  <v>1020</v>
                </pt>
                <pt idx="6">
                  <v>950</v>
                </pt>
                <pt idx="7">
                  <v>880</v>
                </pt>
                <pt idx="8">
                  <v>1080</v>
                </pt>
                <pt idx="9">
                  <v>1150</v>
                </pt>
                <pt idx="10">
                  <v>1210</v>
                </pt>
                <pt idx="11">
                  <v>1090</v>
                </pt>
              </numCache>
            </numRef>
          </xVal>
          <yVal>
            <numRef>
              <f>'회귀분석 및 유효성 검증 시트'!$C$6:$C$17</f>
              <numCache>
                <formatCode>_(* #,##0_);_(* \(#,##0\);_(* "-"_);_(@_)</formatCode>
                <ptCount val="12"/>
                <pt idx="0">
                  <v>41800</v>
                </pt>
                <pt idx="1">
                  <v>39500</v>
                </pt>
                <pt idx="2">
                  <v>44100</v>
                </pt>
                <pt idx="3">
                  <v>48900</v>
                </pt>
                <pt idx="4">
                  <v>46200</v>
                </pt>
                <pt idx="5">
                  <v>40800</v>
                </pt>
                <pt idx="6">
                  <v>38400</v>
                </pt>
                <pt idx="7">
                  <v>36500</v>
                </pt>
                <pt idx="8">
                  <v>42900</v>
                </pt>
                <pt idx="9">
                  <v>45100</v>
                </pt>
                <pt idx="10">
                  <v>47500</v>
                </pt>
                <pt idx="11">
                  <v>43300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541213184"/>
        <axId val="1541213664"/>
      </scatterChart>
      <valAx>
        <axId val="1541213184"/>
        <scaling>
          <orientation val="minMax"/>
          <min val="85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541213664"/>
        <crosses val="autoZero"/>
        <crossBetween val="midCat"/>
      </valAx>
      <valAx>
        <axId val="1541213664"/>
        <scaling>
          <orientation val="minMax"/>
          <min val="35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54121318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19051</colOff>
      <row>26</row>
      <rowOff>57150</rowOff>
    </from>
    <to>
      <col>3</col>
      <colOff>1619250</colOff>
      <row>37</row>
      <rowOff>161925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tabSelected="1" workbookViewId="0">
      <selection activeCell="A2" sqref="A2"/>
    </sheetView>
  </sheetViews>
  <sheetFormatPr baseColWidth="8" defaultRowHeight="15"/>
  <cols>
    <col width="21.625" customWidth="1" style="1" min="1" max="4"/>
    <col width="9" customWidth="1" style="1" min="5" max="16384"/>
  </cols>
  <sheetData>
    <row r="1">
      <c r="A1" s="50" t="inlineStr">
        <is>
          <t>양식번호: {{DOC_PREFIX}}-EG-102-02</t>
        </is>
      </c>
    </row>
    <row r="2" ht="35.1" customHeight="1" s="51" thickBot="1">
      <c r="A2" s="49" t="inlineStr">
        <is>
          <t>회귀분석 및 유효성 검증 시트</t>
        </is>
      </c>
      <c r="B2" s="48" t="n"/>
      <c r="C2" s="48" t="n"/>
      <c r="D2" s="47" t="inlineStr">
        <is>
          <t>{{COMPANY_NAME}}</t>
        </is>
      </c>
    </row>
    <row r="3" ht="15" customHeight="1" s="51">
      <c r="D3" s="27" t="n"/>
    </row>
    <row r="4" ht="20.1" customHeight="1" s="51">
      <c r="A4" s="6" t="inlineStr">
        <is>
          <t>1. 데이터 입력 및 분석 (Raw Data)</t>
        </is>
      </c>
      <c r="D4" s="46" t="inlineStr">
        <is>
          <t>작성일 :</t>
        </is>
      </c>
    </row>
    <row r="5" ht="18" customHeight="1" s="51">
      <c r="A5" s="45" t="inlineStr">
        <is>
          <t>월</t>
        </is>
      </c>
      <c r="B5" s="44" t="inlineStr">
        <is>
          <t>활동량 (X)</t>
        </is>
      </c>
      <c r="C5" s="44" t="inlineStr">
        <is>
          <t>에너지 (Y)</t>
        </is>
      </c>
      <c r="D5" s="43" t="inlineStr">
        <is>
          <t>비고 (특이사항)</t>
        </is>
      </c>
    </row>
    <row r="6" ht="18" customHeight="1" s="51">
      <c r="A6" s="42" t="n">
        <v>1</v>
      </c>
      <c r="B6" s="52" t="n">
        <v>1050</v>
      </c>
      <c r="C6" s="52" t="n">
        <v>41800</v>
      </c>
      <c r="D6" s="40" t="n"/>
    </row>
    <row r="7" ht="18" customHeight="1" s="51">
      <c r="A7" s="39" t="n">
        <v>2</v>
      </c>
      <c r="B7" s="53" t="n">
        <v>980</v>
      </c>
      <c r="C7" s="53" t="n">
        <v>39500</v>
      </c>
      <c r="D7" s="37" t="n"/>
    </row>
    <row r="8" ht="18" customHeight="1" s="51">
      <c r="A8" s="39" t="n">
        <v>3</v>
      </c>
      <c r="B8" s="53" t="n">
        <v>1120</v>
      </c>
      <c r="C8" s="53" t="n">
        <v>44100</v>
      </c>
      <c r="D8" s="37" t="n"/>
    </row>
    <row r="9" ht="18" customHeight="1" s="51">
      <c r="A9" s="39" t="n">
        <v>4</v>
      </c>
      <c r="B9" s="53" t="n">
        <v>1250</v>
      </c>
      <c r="C9" s="53" t="n">
        <v>48900</v>
      </c>
      <c r="D9" s="37" t="n"/>
    </row>
    <row r="10" ht="18" customHeight="1" s="51">
      <c r="A10" s="39" t="n">
        <v>5</v>
      </c>
      <c r="B10" s="53" t="n">
        <v>1180</v>
      </c>
      <c r="C10" s="53" t="n">
        <v>46200</v>
      </c>
      <c r="D10" s="37" t="n"/>
    </row>
    <row r="11" ht="18" customHeight="1" s="51">
      <c r="A11" s="39" t="n">
        <v>6</v>
      </c>
      <c r="B11" s="53" t="n">
        <v>1020</v>
      </c>
      <c r="C11" s="53" t="n">
        <v>40800</v>
      </c>
      <c r="D11" s="37" t="n"/>
    </row>
    <row r="12" ht="18" customHeight="1" s="51">
      <c r="A12" s="39" t="n">
        <v>7</v>
      </c>
      <c r="B12" s="53" t="n">
        <v>950</v>
      </c>
      <c r="C12" s="53" t="n">
        <v>38400</v>
      </c>
      <c r="D12" s="37" t="n"/>
    </row>
    <row r="13" ht="18" customHeight="1" s="51">
      <c r="A13" s="39" t="n">
        <v>8</v>
      </c>
      <c r="B13" s="53" t="n">
        <v>880</v>
      </c>
      <c r="C13" s="53" t="n">
        <v>36500</v>
      </c>
      <c r="D13" s="37" t="n"/>
    </row>
    <row r="14" ht="18" customHeight="1" s="51">
      <c r="A14" s="39" t="n">
        <v>9</v>
      </c>
      <c r="B14" s="53" t="n">
        <v>1080</v>
      </c>
      <c r="C14" s="53" t="n">
        <v>42900</v>
      </c>
      <c r="D14" s="37" t="n"/>
    </row>
    <row r="15" ht="18" customHeight="1" s="51">
      <c r="A15" s="39" t="n">
        <v>10</v>
      </c>
      <c r="B15" s="53" t="n">
        <v>1150</v>
      </c>
      <c r="C15" s="53" t="n">
        <v>45100</v>
      </c>
      <c r="D15" s="37" t="n"/>
    </row>
    <row r="16" ht="18" customHeight="1" s="51">
      <c r="A16" s="39" t="n">
        <v>11</v>
      </c>
      <c r="B16" s="53" t="n">
        <v>1210</v>
      </c>
      <c r="C16" s="53" t="n">
        <v>47500</v>
      </c>
      <c r="D16" s="37" t="n"/>
    </row>
    <row r="17" ht="18" customHeight="1" s="51">
      <c r="A17" s="36" t="n">
        <v>12</v>
      </c>
      <c r="B17" s="54" t="n">
        <v>1090</v>
      </c>
      <c r="C17" s="54" t="n">
        <v>43300</v>
      </c>
      <c r="D17" s="34" t="n"/>
    </row>
    <row r="18" ht="18" customHeight="1" s="51">
      <c r="A18" s="33" t="inlineStr">
        <is>
          <t>합계</t>
        </is>
      </c>
      <c r="B18" s="55">
        <f>SUM(B6:B17)</f>
        <v/>
      </c>
      <c r="C18" s="55">
        <f>SUM(C6:C17)</f>
        <v/>
      </c>
      <c r="D18" s="31" t="n"/>
    </row>
    <row r="19" ht="18" customHeight="1" s="51">
      <c r="A19" s="30" t="inlineStr">
        <is>
          <t>평균</t>
        </is>
      </c>
      <c r="B19" s="56">
        <f>AVERAGE(B6:B17)</f>
        <v/>
      </c>
      <c r="C19" s="56">
        <f>AVERAGE(C6:C17)</f>
        <v/>
      </c>
      <c r="D19" s="28" t="n"/>
    </row>
    <row r="20" ht="15" customHeight="1" s="51">
      <c r="D20" s="27" t="inlineStr">
        <is>
          <t>**활동량은 원단위의 분모로 '생산수량', '생산중량', '매출액' 등이 적용됨</t>
        </is>
      </c>
    </row>
    <row r="21" ht="20.1" customHeight="1" s="51">
      <c r="A21" s="6" t="inlineStr">
        <is>
          <t xml:space="preserve">2. 통계 산출(Statistical Calculation) </t>
        </is>
      </c>
    </row>
    <row r="22" ht="20.1" customHeight="1" s="51">
      <c r="A22" s="26" t="inlineStr">
        <is>
          <t>항목</t>
        </is>
      </c>
      <c r="B22" s="25" t="inlineStr">
        <is>
          <t>결과값</t>
        </is>
      </c>
      <c r="C22" s="25" t="inlineStr">
        <is>
          <t>Remark</t>
        </is>
      </c>
      <c r="D22" s="57" t="n"/>
    </row>
    <row r="23" ht="20.1" customHeight="1" s="51">
      <c r="A23" s="22" t="inlineStr">
        <is>
          <t>기울기 (Slope)</t>
        </is>
      </c>
      <c r="B23" s="21">
        <f>SLOPE(C6:C17,B6:B17)</f>
        <v/>
      </c>
      <c r="C23" s="20" t="inlineStr">
        <is>
          <t>활동량 1단위 증가 시 필요한 순수 에너지 (기술적 효율)</t>
        </is>
      </c>
      <c r="D23" s="58" t="n"/>
    </row>
    <row r="24" ht="20.1" customHeight="1" s="51">
      <c r="A24" s="22" t="inlineStr">
        <is>
          <t>Y절편 (Intercept)</t>
        </is>
      </c>
      <c r="B24" s="21">
        <f>INTERCEPT(C6:C17, B6:B17)</f>
        <v/>
      </c>
      <c r="C24" s="20" t="inlineStr">
        <is>
          <t>생산 무관 고정 소비량 (공회전 관리 지표)</t>
        </is>
      </c>
      <c r="D24" s="58" t="n"/>
    </row>
    <row r="25" ht="20.1" customHeight="1" s="51">
      <c r="A25" s="22" t="inlineStr">
        <is>
          <t>결정계수 (R²)</t>
        </is>
      </c>
      <c r="B25" s="21">
        <f>RSQ(C6:C17, B6:B17)</f>
        <v/>
      </c>
      <c r="C25" s="20" t="inlineStr">
        <is>
          <t>모델 설명력 -  0.6 미만 인 경우 베이스라인 적용 불가</t>
        </is>
      </c>
      <c r="D25" s="58" t="n"/>
    </row>
    <row r="26" ht="20.1" customHeight="1" s="51">
      <c r="A26" s="18" t="inlineStr">
        <is>
          <t>상관계수 (r)</t>
        </is>
      </c>
      <c r="B26" s="17">
        <f>CORREL(C6:C17, B6:B17)</f>
        <v/>
      </c>
      <c r="C26" s="16" t="inlineStr">
        <is>
          <t xml:space="preserve">변수 상관성 (0.7 이상 유효) 변수 - 선정의 타당성 지표 </t>
        </is>
      </c>
      <c r="D26" s="59" t="n"/>
    </row>
    <row r="27">
      <c r="A27" s="11" t="n"/>
      <c r="D27" s="10" t="n"/>
    </row>
    <row r="28">
      <c r="A28" s="14" t="n"/>
      <c r="B28" s="13" t="n"/>
      <c r="C28" s="13" t="n"/>
      <c r="D28" s="12" t="n"/>
    </row>
    <row r="29">
      <c r="A29" s="14" t="n"/>
      <c r="B29" s="13" t="n"/>
      <c r="C29" s="13" t="n"/>
      <c r="D29" s="12" t="n"/>
    </row>
    <row r="30">
      <c r="A30" s="11" t="n"/>
      <c r="D30" s="10" t="n"/>
    </row>
    <row r="31">
      <c r="A31" s="11" t="n"/>
      <c r="D31" s="10" t="n"/>
    </row>
    <row r="32">
      <c r="A32" s="11" t="n"/>
      <c r="D32" s="10" t="n"/>
    </row>
    <row r="33">
      <c r="A33" s="11" t="n"/>
      <c r="D33" s="10" t="n"/>
    </row>
    <row r="34">
      <c r="A34" s="11" t="n"/>
      <c r="D34" s="10" t="n"/>
    </row>
    <row r="35">
      <c r="A35" s="11" t="n"/>
      <c r="D35" s="10" t="n"/>
    </row>
    <row r="36">
      <c r="A36" s="11" t="n"/>
      <c r="D36" s="10" t="n"/>
    </row>
    <row r="37">
      <c r="A37" s="11" t="n"/>
      <c r="D37" s="10" t="n"/>
    </row>
    <row r="38">
      <c r="A38" s="9" t="n"/>
      <c r="B38" s="8" t="n"/>
      <c r="C38" s="8" t="n"/>
      <c r="D38" s="7" t="n"/>
    </row>
    <row r="39" ht="20.1" customHeight="1" s="51">
      <c r="A39" s="6" t="inlineStr">
        <is>
          <t>3. 유효성 검증 결과</t>
        </is>
      </c>
    </row>
    <row r="40" ht="59.25" customHeight="1" s="51">
      <c r="A40" s="60" t="inlineStr">
        <is>
          <t>(작성예시)
"회귀분석 결과 결정계수(R2)가 [ 0.85 ]로 기준치(0.6)를 상회하고, P-value가 [ 0.001 ]로 통계적 유의수준(0.05)을 만족함. 도출된 회귀식(Y=35X+500)은 해당 설비의 에너지 특성을 적절히 반영하고 있으므로, 이를 차기 연도 에너지 성과 측정의 기준(Baseline)으로 승인함."</t>
        </is>
      </c>
      <c r="B40" s="61" t="n"/>
      <c r="C40" s="61" t="n"/>
      <c r="D40" s="62" t="n"/>
    </row>
    <row r="41">
      <c r="A41" s="2" t="inlineStr">
        <is>
          <t>이 시트는 '({{DOC_PREFIX}}-EG-102-01) 에너지 베이스라인 수립 및 검증 보고서'에 부속되어야 효력이 발생함.</t>
        </is>
      </c>
    </row>
  </sheetData>
  <mergeCells count="6">
    <mergeCell ref="A40:D40"/>
    <mergeCell ref="C24:D24"/>
    <mergeCell ref="C25:D25"/>
    <mergeCell ref="C22:D22"/>
    <mergeCell ref="C26:D26"/>
    <mergeCell ref="C23:D23"/>
  </mergeCells>
  <printOptions horizontalCentered="1"/>
  <pageMargins left="0.2362204724409449" right="0.2362204724409449" top="0.5511811023622047" bottom="0.3543307086614174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2026-01-30T08:17:21Z</dcterms:created>
  <dcterms:modified xmlns:dcterms="http://purl.org/dc/terms/" xmlns:xsi="http://www.w3.org/2001/XMLSchema-instance" xsi:type="dcterms:W3CDTF">2026-09-22T05:57:51Z</dcterms:modified>
  <cp:lastModifiedBy>홍덕 김</cp:lastModifiedBy>
</cp:coreProperties>
</file>