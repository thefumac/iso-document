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drawings/drawing1.xml" ContentType="application/vnd.openxmlformats-officedocument.drawing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64" firstSheet="20" activeTab="23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경영검토 목차" sheetId="2" state="visible" r:id="rId2"/>
    <sheet xmlns:r="http://schemas.openxmlformats.org/officeDocument/2006/relationships" name="1. 이전경영검토조치 요구사항" sheetId="3" state="visible" r:id="rId3"/>
    <sheet xmlns:r="http://schemas.openxmlformats.org/officeDocument/2006/relationships" name="2. 외부내부이슈 변경사항" sheetId="4" state="visible" r:id="rId4"/>
    <sheet xmlns:r="http://schemas.openxmlformats.org/officeDocument/2006/relationships" name="3. 고객만족도 및 이해관계자 피드백" sheetId="5" state="visible" r:id="rId5"/>
    <sheet xmlns:r="http://schemas.openxmlformats.org/officeDocument/2006/relationships" name="4. 품질목표 관리현황" sheetId="6" state="visible" r:id="rId6"/>
    <sheet xmlns:r="http://schemas.openxmlformats.org/officeDocument/2006/relationships" name="5. 프로세스 성과(KPI)" sheetId="7" state="visible" r:id="rId7"/>
    <sheet xmlns:r="http://schemas.openxmlformats.org/officeDocument/2006/relationships" name="6. 주요부적합 및 시정조치" sheetId="8" state="visible" r:id="rId8"/>
    <sheet xmlns:r="http://schemas.openxmlformats.org/officeDocument/2006/relationships" name="7. 모니터링 및 측정성과" sheetId="9" state="visible" r:id="rId9"/>
    <sheet xmlns:r="http://schemas.openxmlformats.org/officeDocument/2006/relationships" name="8. 내부심사 결과" sheetId="10" state="visible" r:id="rId10"/>
    <sheet xmlns:r="http://schemas.openxmlformats.org/officeDocument/2006/relationships" name="9. 외부공급자성과" sheetId="11" state="visible" r:id="rId11"/>
    <sheet xmlns:r="http://schemas.openxmlformats.org/officeDocument/2006/relationships" name="10.자원의충족성" sheetId="12" state="visible" r:id="rId12"/>
    <sheet xmlns:r="http://schemas.openxmlformats.org/officeDocument/2006/relationships" name="11. 조치의 효과성" sheetId="13" state="visible" r:id="rId13"/>
    <sheet xmlns:r="http://schemas.openxmlformats.org/officeDocument/2006/relationships" name="12. 개선의 기회와 개선내역" sheetId="14" state="visible" r:id="rId14"/>
    <sheet xmlns:r="http://schemas.openxmlformats.org/officeDocument/2006/relationships" name="2-1 품질 비용" sheetId="15" state="visible" r:id="rId15"/>
    <sheet xmlns:r="http://schemas.openxmlformats.org/officeDocument/2006/relationships" name="2-2. 프로세스 효과성" sheetId="16" state="visible" r:id="rId16"/>
    <sheet xmlns:r="http://schemas.openxmlformats.org/officeDocument/2006/relationships" name="2-3. 제품적합성평가" sheetId="17" state="visible" r:id="rId17"/>
    <sheet xmlns:r="http://schemas.openxmlformats.org/officeDocument/2006/relationships" name="2-4. 제조타당성 확인 및 평가" sheetId="18" state="visible" r:id="rId18"/>
    <sheet xmlns:r="http://schemas.openxmlformats.org/officeDocument/2006/relationships" name="2-5. 고객만족도 및 점수" sheetId="19" state="visible" r:id="rId19"/>
    <sheet xmlns:r="http://schemas.openxmlformats.org/officeDocument/2006/relationships" name="2-6. 보존목표대비 성과(검토)" sheetId="20" state="visible" r:id="rId20"/>
    <sheet xmlns:r="http://schemas.openxmlformats.org/officeDocument/2006/relationships" name="2-7. 보증성과" sheetId="21" state="visible" r:id="rId21"/>
    <sheet xmlns:r="http://schemas.openxmlformats.org/officeDocument/2006/relationships" name="2-8. 리스크분석에 따른 고장형태 분석" sheetId="22" state="visible" r:id="rId22"/>
    <sheet xmlns:r="http://schemas.openxmlformats.org/officeDocument/2006/relationships" name="2-9. 필드고장, 환경 안전 영향 평가" sheetId="23" state="visible" r:id="rId23"/>
    <sheet xmlns:r="http://schemas.openxmlformats.org/officeDocument/2006/relationships" name="2-10 개발측정 요약 결과" sheetId="24" state="visible" r:id="rId24"/>
    <sheet xmlns:r="http://schemas.openxmlformats.org/officeDocument/2006/relationships" name="3-1 환경측면 변경사항" sheetId="25" state="visible" r:id="rId25"/>
    <sheet xmlns:r="http://schemas.openxmlformats.org/officeDocument/2006/relationships" name="3-2 환경목표 달성과 준수의무사항 충족" sheetId="26" state="visible" r:id="rId26"/>
    <sheet xmlns:r="http://schemas.openxmlformats.org/officeDocument/2006/relationships" name="3-3 이해관계자 의사소통" sheetId="27" state="visible" r:id="rId27"/>
  </sheets>
  <externalReferences>
    <externalReference xmlns:r="http://schemas.openxmlformats.org/officeDocument/2006/relationships" r:id="rId28"/>
  </externalReferences>
  <definedNames>
    <definedName name="_2W2_" hidden="1">{#N/A,#N/A,FALSE,"품의서";#N/A,#N/A,FALSE,"전제";#N/A,#N/A,FALSE,"총손";#N/A,#N/A,FALSE,"손익"}</definedName>
    <definedName name="_Order1" hidden="1">255</definedName>
    <definedName name="_Order2" hidden="1">255</definedName>
    <definedName name="_Sort" hidden="1">[1]M1master!$A$1:$IV$4102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E" hidden="1">{#N/A,#N/A,TRUE,"Y생산";#N/A,#N/A,TRUE,"Y판매";#N/A,#N/A,TRUE,"Y총물량";#N/A,#N/A,TRUE,"Y능력";#N/A,#N/A,TRUE,"YKD"}</definedName>
    <definedName name="G" hidden="1">{#N/A,#N/A,FALSE,"96 3월물량표";#N/A,#N/A,FALSE,"96 4월물량표";#N/A,#N/A,FALSE,"96 5월물량표"}</definedName>
    <definedName name="GGG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GHUTGHF" hidden="1">{#N/A,#N/A,FALSE,"96 3월물량표";#N/A,#N/A,FALSE,"96 4월물량표";#N/A,#N/A,FALSE,"96 5월물량표"}</definedName>
    <definedName name="H" hidden="1">{#N/A,#N/A,TRUE,"Y생산";#N/A,#N/A,TRUE,"Y판매";#N/A,#N/A,TRUE,"Y총물량";#N/A,#N/A,TRUE,"Y능력";#N/A,#N/A,TRUE,"YKD"}</definedName>
    <definedName name="HFG" hidden="1">{#N/A,#N/A,TRUE,"Y생산";#N/A,#N/A,TRUE,"Y판매";#N/A,#N/A,TRUE,"Y총물량";#N/A,#N/A,TRUE,"Y능력";#N/A,#N/A,TRUE,"YKD"}</definedName>
    <definedName name="HHH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JJJ" hidden="1">{#N/A,#N/A,FALSE,"전제";#N/A,#N/A,FALSE,"표지";#N/A,#N/A,FALSE,"6D16";#N/A,#N/A,FALSE,"6D22";#N/A,#N/A,FALSE,"6D22-T";#N/A,#N/A,FALSE,"Q-DEG";#N/A,#N/A,FALSE,"총손";#N/A,#N/A,FALSE,"대당";#N/A,#N/A,FALSE,"가공비"}</definedName>
    <definedName name="JK" hidden="1">{#N/A,#N/A,TRUE,"Y생산";#N/A,#N/A,TRUE,"Y판매";#N/A,#N/A,TRUE,"Y총물량";#N/A,#N/A,TRUE,"Y능력";#N/A,#N/A,TRUE,"YKD"}</definedName>
    <definedName name="K" hidden="1">{#N/A,#N/A,TRUE,"Y생산";#N/A,#N/A,TRUE,"Y판매";#N/A,#N/A,TRUE,"Y총물량";#N/A,#N/A,TRUE,"Y능력";#N/A,#N/A,TRUE,"YKD"}</definedName>
    <definedName name="K8M" hidden="1">{#N/A,#N/A,FALSE,"전제";#N/A,#N/A,FALSE,"표지";#N/A,#N/A,FALSE,"6D16";#N/A,#N/A,FALSE,"6D22";#N/A,#N/A,FALSE,"6D22-T";#N/A,#N/A,FALSE,"Q-DEG";#N/A,#N/A,FALSE,"총손";#N/A,#N/A,FALSE,"대당";#N/A,#N/A,FALSE,"가공비"}</definedName>
    <definedName name="KU" hidden="1">{#N/A,#N/A,TRUE,"Y생산";#N/A,#N/A,TRUE,"Y판매";#N/A,#N/A,TRUE,"Y총물량";#N/A,#N/A,TRUE,"Y능력";#N/A,#N/A,TRUE,"YKD"}</definedName>
    <definedName name="LINE검토2" hidden="1">{#N/A,#N/A,TRUE,"Y생산";#N/A,#N/A,TRUE,"Y판매";#N/A,#N/A,TRUE,"Y총물량";#N/A,#N/A,TRUE,"Y능력";#N/A,#N/A,TRUE,"YKD"}</definedName>
    <definedName name="O" hidden="1">{#N/A,#N/A,TRUE,"Y생산";#N/A,#N/A,TRUE,"Y판매";#N/A,#N/A,TRUE,"Y총물량";#N/A,#N/A,TRUE,"Y능력";#N/A,#N/A,TRUE,"YKD"}</definedName>
    <definedName name="PPK" hidden="1">{#N/A,#N/A,FALSE,"96 3월물량표";#N/A,#N/A,FALSE,"96 4월물량표";#N/A,#N/A,FALSE,"96 5월물량표"}</definedName>
    <definedName name="qq" hidden="1">{#N/A,#N/A,FALSE,"전제";#N/A,#N/A,FALSE,"표지";#N/A,#N/A,FALSE,"6D16";#N/A,#N/A,FALSE,"6D22";#N/A,#N/A,FALSE,"6D22-T";#N/A,#N/A,FALSE,"Q-DEG";#N/A,#N/A,FALSE,"총손";#N/A,#N/A,FALSE,"대당";#N/A,#N/A,FALSE,"가공비"}</definedName>
    <definedName name="QQQ" hidden="1">{#N/A,#N/A,FALSE,"96 3월물량표";#N/A,#N/A,FALSE,"96 4월물량표";#N/A,#N/A,FALSE,"96 5월물량표"}</definedName>
    <definedName name="RK" hidden="1">{#N/A,#N/A,FALSE,"전제";#N/A,#N/A,FALSE,"표지";#N/A,#N/A,FALSE,"6D16";#N/A,#N/A,FALSE,"6D22";#N/A,#N/A,FALSE,"6D22-T";#N/A,#N/A,FALSE,"Q-DEG";#N/A,#N/A,FALSE,"총손";#N/A,#N/A,FALSE,"대당";#N/A,#N/A,FALSE,"가공비"}</definedName>
    <definedName name="RRR" hidden="1">{#N/A,#N/A,FALSE,"표지";#N/A,#N/A,FALSE,"전제";#N/A,#N/A,FALSE,"손익-자 (2)";#N/A,#N/A,FALSE,"손익-자";#N/A,#N/A,FALSE,"손익-마 (2)";#N/A,#N/A,FALSE,"손익-마";#N/A,#N/A,FALSE,"총손최종"}</definedName>
    <definedName name="SD" hidden="1">{#N/A,#N/A,FALSE,"표지";#N/A,#N/A,FALSE,"전제";#N/A,#N/A,FALSE,"손익-자 (2)";#N/A,#N/A,FALSE,"손익-자";#N/A,#N/A,FALSE,"손익-마 (2)";#N/A,#N/A,FALSE,"손익-마";#N/A,#N/A,FALSE,"총손최종"}</definedName>
    <definedName name="SHE" hidden="1">{#N/A,#N/A,FALSE,"전제";#N/A,#N/A,FALSE,"표지";#N/A,#N/A,FALSE,"6D16";#N/A,#N/A,FALSE,"6D22";#N/A,#N/A,FALSE,"6D22-T";#N/A,#N/A,FALSE,"Q-DEG";#N/A,#N/A,FALSE,"총손";#N/A,#N/A,FALSE,"대당";#N/A,#N/A,FALSE,"가공비"}</definedName>
    <definedName name="SK" hidden="1">{#N/A,#N/A,FALSE,"표지";#N/A,#N/A,FALSE,"전제";#N/A,#N/A,FALSE,"대당";#N/A,#N/A,FALSE,"가공비";#N/A,#N/A,FALSE,"재료비";#N/A,#N/A,FALSE,"손익"}</definedName>
    <definedName name="SKEKSK" hidden="1">{#N/A,#N/A,FALSE,"품의서";#N/A,#N/A,FALSE,"전제";#N/A,#N/A,FALSE,"총손";#N/A,#N/A,FALSE,"손익"}</definedName>
    <definedName name="THEME2" hidden="1">{#N/A,#N/A,FALSE,"96 3월물량표";#N/A,#N/A,FALSE,"96 4월물량표";#N/A,#N/A,FALSE,"96 5월물량표"}</definedName>
    <definedName name="wrn.345." hidden="1">{#N/A,#N/A,FALSE,"96 3월물량표";#N/A,#N/A,FALSE,"96 4월물량표";#N/A,#N/A,FALSE,"96 5월물량표"}</definedName>
    <definedName name="wrn.EM." hidden="1">{#N/A,#N/A,FALSE,"전제";#N/A,#N/A,FALSE,"표지";#N/A,#N/A,FALSE,"6D16";#N/A,#N/A,FALSE,"6D22";#N/A,#N/A,FALSE,"6D22-T";#N/A,#N/A,FALSE,"Q-DEG";#N/A,#N/A,FALSE,"총손";#N/A,#N/A,FALSE,"대당";#N/A,#N/A,FALSE,"가공비"}</definedName>
    <definedName name="wrn.su." hidden="1">{#N/A,#N/A,FALSE,"표지";#N/A,#N/A,FALSE,"전제";#N/A,#N/A,FALSE,"손익-자 (2)";#N/A,#N/A,FALSE,"손익-자";#N/A,#N/A,FALSE,"손익-마 (2)";#N/A,#N/A,FALSE,"손익-마";#N/A,#N/A,FALSE,"총손최종"}</definedName>
    <definedName name="wrn.Y차._.종합." hidden="1">{#N/A,#N/A,TRUE,"Y생산";#N/A,#N/A,TRUE,"Y판매";#N/A,#N/A,TRUE,"Y총물량";#N/A,#N/A,TRUE,"Y능력";#N/A,#N/A,TRUE,"YKD"}</definedName>
    <definedName name="wrn.선사." hidden="1">{#N/A,#N/A,FALSE,"품의서";#N/A,#N/A,FALSE,"전제";#N/A,#N/A,FALSE,"총손";#N/A,#N/A,FALSE,"손익"}</definedName>
    <definedName name="wrn.직좌.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중." hidden="1">{#N/A,#N/A,FALSE,"표지";#N/A,#N/A,FALSE,"전제";#N/A,#N/A,FALSE,"대당";#N/A,#N/A,FALSE,"가공비";#N/A,#N/A,FALSE,"재료비";#N/A,#N/A,FALSE,"손익"}</definedName>
    <definedName name="WWW" hidden="1">{#N/A,#N/A,FALSE,"전제";#N/A,#N/A,FALSE,"표지";#N/A,#N/A,FALSE,"6D16";#N/A,#N/A,FALSE,"6D22";#N/A,#N/A,FALSE,"6D22-T";#N/A,#N/A,FALSE,"Q-DEG";#N/A,#N/A,FALSE,"총손";#N/A,#N/A,FALSE,"대당";#N/A,#N/A,FALSE,"가공비"}</definedName>
    <definedName name="WWWWWW" hidden="1">{#N/A,#N/A,FALSE,"표지";#N/A,#N/A,FALSE,"전제";#N/A,#N/A,FALSE,"대당";#N/A,#N/A,FALSE,"가공비";#N/A,#N/A,FALSE,"재료비";#N/A,#N/A,FALSE,"손익"}</definedName>
    <definedName name="WWWWWWW" hidden="1">{#N/A,#N/A,FALSE,"전제";#N/A,#N/A,FALSE,"표지";#N/A,#N/A,FALSE,"6D16";#N/A,#N/A,FALSE,"6D22";#N/A,#N/A,FALSE,"6D22-T";#N/A,#N/A,FALSE,"Q-DEG";#N/A,#N/A,FALSE,"총손";#N/A,#N/A,FALSE,"대당";#N/A,#N/A,FALSE,"가공비"}</definedName>
    <definedName name="YY" hidden="1">{#N/A,#N/A,FALSE,"96 3월물량표";#N/A,#N/A,FALSE,"96 4월물량표";#N/A,#N/A,FALSE,"96 5월물량표"}</definedName>
    <definedName name="YYY" hidden="1">{#N/A,#N/A,TRUE,"Y생산";#N/A,#N/A,TRUE,"Y판매";#N/A,#N/A,TRUE,"Y총물량";#N/A,#N/A,TRUE,"Y능력";#N/A,#N/A,TRUE,"YKD"}</definedName>
    <definedName name="가1" hidden="1">{#N/A,#N/A,TRUE,"Y생산";#N/A,#N/A,TRUE,"Y판매";#N/A,#N/A,TRUE,"Y총물량";#N/A,#N/A,TRUE,"Y능력";#N/A,#N/A,TRUE,"YKD"}</definedName>
    <definedName name="경합금2과운연계획" hidden="1">{#N/A,#N/A,TRUE,"Y생산";#N/A,#N/A,TRUE,"Y판매";#N/A,#N/A,TRUE,"Y총물량";#N/A,#N/A,TRUE,"Y능력";#N/A,#N/A,TRUE,"YKD"}</definedName>
    <definedName name="고객미정" hidden="1">{#N/A,#N/A,FALSE,"표지";#N/A,#N/A,FALSE,"전제";#N/A,#N/A,FALSE,"손익-자 (2)";#N/A,#N/A,FALSE,"손익-자";#N/A,#N/A,FALSE,"손익-마 (2)";#N/A,#N/A,FALSE,"손익-마";#N/A,#N/A,FALSE,"총손최종"}</definedName>
    <definedName name="고인돌" hidden="1">{#N/A,#N/A,FALSE,"전제";#N/A,#N/A,FALSE,"표지";#N/A,#N/A,FALSE,"6D16";#N/A,#N/A,FALSE,"6D22";#N/A,#N/A,FALSE,"6D22-T";#N/A,#N/A,FALSE,"Q-DEG";#N/A,#N/A,FALSE,"총손";#N/A,#N/A,FALSE,"대당";#N/A,#N/A,FALSE,"가공비"}</definedName>
    <definedName name="금월" hidden="1">{#N/A,#N/A,TRUE,"Y생산";#N/A,#N/A,TRUE,"Y판매";#N/A,#N/A,TRUE,"Y총물량";#N/A,#N/A,TRUE,"Y능력";#N/A,#N/A,TRUE,"YKD"}</definedName>
    <definedName name="나" hidden="1">{#N/A,#N/A,FALSE,"전제";#N/A,#N/A,FALSE,"표지";#N/A,#N/A,FALSE,"6D16";#N/A,#N/A,FALSE,"6D22";#N/A,#N/A,FALSE,"6D22-T";#N/A,#N/A,FALSE,"Q-DEG";#N/A,#N/A,FALSE,"총손";#N/A,#N/A,FALSE,"대당";#N/A,#N/A,FALSE,"가공비"}</definedName>
    <definedName name="나다" hidden="1">{#N/A,#N/A,FALSE,"품의서";#N/A,#N/A,FALSE,"전제";#N/A,#N/A,FALSE,"총손";#N/A,#N/A,FALSE,"손익"}</definedName>
    <definedName name="너" hidden="1">{#N/A,#N/A,FALSE,"전제";#N/A,#N/A,FALSE,"표지";#N/A,#N/A,FALSE,"6D16";#N/A,#N/A,FALSE,"6D22";#N/A,#N/A,FALSE,"6D22-T";#N/A,#N/A,FALSE,"Q-DEG";#N/A,#N/A,FALSE,"총손";#N/A,#N/A,FALSE,"대당";#N/A,#N/A,FALSE,"가공비"}</definedName>
    <definedName name="대4" hidden="1">{#N/A,#N/A,FALSE,"전제";#N/A,#N/A,FALSE,"표지";#N/A,#N/A,FALSE,"6D16";#N/A,#N/A,FALSE,"6D22";#N/A,#N/A,FALSE,"6D22-T";#N/A,#N/A,FALSE,"Q-DEG";#N/A,#N/A,FALSE,"총손";#N/A,#N/A,FALSE,"대당";#N/A,#N/A,FALSE,"가공비"}</definedName>
    <definedName name="대5" hidden="1">{#N/A,#N/A,FALSE,"표지";#N/A,#N/A,FALSE,"전제";#N/A,#N/A,FALSE,"대당";#N/A,#N/A,FALSE,"가공비";#N/A,#N/A,FALSE,"재료비";#N/A,#N/A,FALSE,"손익"}</definedName>
    <definedName name="대6" hidden="1">{#N/A,#N/A,FALSE,"품의서";#N/A,#N/A,FALSE,"전제";#N/A,#N/A,FALSE,"총손";#N/A,#N/A,FALSE,"손익"}</definedName>
    <definedName name="대상" hidden="1">{#N/A,#N/A,FALSE,"품의서";#N/A,#N/A,FALSE,"전제";#N/A,#N/A,FALSE,"총손";#N/A,#N/A,FALSE,"손익"}</definedName>
    <definedName name="대상전기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ㅁ" hidden="1">{#N/A,#N/A,TRUE,"Y생산";#N/A,#N/A,TRUE,"Y판매";#N/A,#N/A,TRUE,"Y총물량";#N/A,#N/A,TRUE,"Y능력";#N/A,#N/A,TRUE,"YKD"}</definedName>
    <definedName name="몰라" hidden="1">{#N/A,#N/A,TRUE,"Y생산";#N/A,#N/A,TRUE,"Y판매";#N/A,#N/A,TRUE,"Y총물량";#N/A,#N/A,TRUE,"Y능력";#N/A,#N/A,TRUE,"YKD"}</definedName>
    <definedName name="ㅂ" hidden="1">{#N/A,#N/A,TRUE,"Y생산";#N/A,#N/A,TRUE,"Y판매";#N/A,#N/A,TRUE,"Y총물량";#N/A,#N/A,TRUE,"Y능력";#N/A,#N/A,TRUE,"YKD"}</definedName>
    <definedName name="받" hidden="1">{#N/A,#N/A,TRUE,"Y생산";#N/A,#N/A,TRUE,"Y판매";#N/A,#N/A,TRUE,"Y총물량";#N/A,#N/A,TRUE,"Y능력";#N/A,#N/A,TRUE,"YKD"}</definedName>
    <definedName name="ㅅ" hidden="1">{#N/A,#N/A,TRUE,"Y생산";#N/A,#N/A,TRUE,"Y판매";#N/A,#N/A,TRUE,"Y총물량";#N/A,#N/A,TRUE,"Y능력";#N/A,#N/A,TRUE,"YKD"}</definedName>
    <definedName name="생산TON" hidden="1">{#N/A,#N/A,TRUE,"Y생산";#N/A,#N/A,TRUE,"Y판매";#N/A,#N/A,TRUE,"Y총물량";#N/A,#N/A,TRUE,"Y능력";#N/A,#N/A,TRUE,"YKD"}</definedName>
    <definedName name="서천" hidden="1">{#N/A,#N/A,FALSE,"표지";#N/A,#N/A,FALSE,"전제";#N/A,#N/A,FALSE,"손익-자 (2)";#N/A,#N/A,FALSE,"손익-자";#N/A,#N/A,FALSE,"손익-마 (2)";#N/A,#N/A,FALSE,"손익-마";#N/A,#N/A,FALSE,"총손최종"}</definedName>
    <definedName name="서천통일관광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송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시간" hidden="1">{#N/A,#N/A,TRUE,"Y생산";#N/A,#N/A,TRUE,"Y판매";#N/A,#N/A,TRUE,"Y총물량";#N/A,#N/A,TRUE,"Y능력";#N/A,#N/A,TRUE,"YKD"}</definedName>
    <definedName name="ㅇㅇㅇ" hidden="1">{#N/A,#N/A,TRUE,"Y생산";#N/A,#N/A,TRUE,"Y판매";#N/A,#N/A,TRUE,"Y총물량";#N/A,#N/A,TRUE,"Y능력";#N/A,#N/A,TRUE,"YKD"}</definedName>
    <definedName name="에이" hidden="1">{#N/A,#N/A,TRUE,"Y생산";#N/A,#N/A,TRUE,"Y판매";#N/A,#N/A,TRUE,"Y총물량";#N/A,#N/A,TRUE,"Y능력";#N/A,#N/A,TRUE,"YKD"}</definedName>
    <definedName name="오성협" hidden="1">{#N/A,#N/A,TRUE,"Y생산";#N/A,#N/A,TRUE,"Y판매";#N/A,#N/A,TRUE,"Y총물량";#N/A,#N/A,TRUE,"Y능력";#N/A,#N/A,TRUE,"YKD"}</definedName>
    <definedName name="외주계획" hidden="1">{#N/A,#N/A,TRUE,"Y생산";#N/A,#N/A,TRUE,"Y판매";#N/A,#N/A,TRUE,"Y총물량";#N/A,#N/A,TRUE,"Y능력";#N/A,#N/A,TRUE,"YKD"}</definedName>
    <definedName name="우리" hidden="1">{#N/A,#N/A,FALSE,"표지";#N/A,#N/A,FALSE,"전제";#N/A,#N/A,FALSE,"손익-자 (2)";#N/A,#N/A,FALSE,"손익-자";#N/A,#N/A,FALSE,"손익-마 (2)";#N/A,#N/A,FALSE,"손익-마";#N/A,#N/A,FALSE,"총손최종"}</definedName>
    <definedName name="월간" hidden="1">{#N/A,#N/A,TRUE,"Y생산";#N/A,#N/A,TRUE,"Y판매";#N/A,#N/A,TRUE,"Y총물량";#N/A,#N/A,TRUE,"Y능력";#N/A,#N/A,TRUE,"YKD"}</definedName>
    <definedName name="ㅈ" hidden="1">{#N/A,#N/A,TRUE,"Y생산";#N/A,#N/A,TRUE,"Y판매";#N/A,#N/A,TRUE,"Y총물량";#N/A,#N/A,TRUE,"Y능력";#N/A,#N/A,TRUE,"YKD"}</definedName>
    <definedName name="ㅈㅈ" hidden="1">{#N/A,#N/A,FALSE,"96 3월물량표";#N/A,#N/A,FALSE,"96 4월물량표";#N/A,#N/A,FALSE,"96 5월물량표"}</definedName>
    <definedName name="ㅈㅈㅈㅈ" hidden="1">{#N/A,#N/A,TRUE,"Y생산";#N/A,#N/A,TRUE,"Y판매";#N/A,#N/A,TRUE,"Y총물량";#N/A,#N/A,TRUE,"Y능력";#N/A,#N/A,TRUE,"YKD"}</definedName>
    <definedName name="자재기준" hidden="1">{#N/A,#N/A,TRUE,"Y생산";#N/A,#N/A,TRUE,"Y판매";#N/A,#N/A,TRUE,"Y총물량";#N/A,#N/A,TRUE,"Y능력";#N/A,#N/A,TRUE,"YKD"}</definedName>
    <definedName name="제2석굴암" hidden="1">{#N/A,#N/A,FALSE,"품의서";#N/A,#N/A,FALSE,"전제";#N/A,#N/A,FALSE,"총손";#N/A,#N/A,FALSE,"손익"}</definedName>
    <definedName name="주요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충돌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ㅋㅋ" hidden="1">{#N/A,#N/A,TRUE,"Y생산";#N/A,#N/A,TRUE,"Y판매";#N/A,#N/A,TRUE,"Y총물량";#N/A,#N/A,TRUE,"Y능력";#N/A,#N/A,TRUE,"YKD"}</definedName>
    <definedName name="킨사이다" hidden="1">{#N/A,#N/A,FALSE,"품의서";#N/A,#N/A,FALSE,"전제";#N/A,#N/A,FALSE,"총손";#N/A,#N/A,FALSE,"손익"}</definedName>
    <definedName name="통일전세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페케지" hidden="1">{#N/A,#N/A,TRUE,"Y생산";#N/A,#N/A,TRUE,"Y판매";#N/A,#N/A,TRUE,"Y총물량";#N/A,#N/A,TRUE,"Y능력";#N/A,#N/A,TRUE,"YKD"}</definedName>
    <definedName name="표지222" hidden="1">{#N/A,#N/A,TRUE,"Y생산";#N/A,#N/A,TRUE,"Y판매";#N/A,#N/A,TRUE,"Y총물량";#N/A,#N/A,TRUE,"Y능력";#N/A,#N/A,TRUE,"YKD"}</definedName>
    <definedName name="품" hidden="1">{#N/A,#N/A,TRUE,"Y생산";#N/A,#N/A,TRUE,"Y판매";#N/A,#N/A,TRUE,"Y총물량";#N/A,#N/A,TRUE,"Y능력";#N/A,#N/A,TRUE,"YKD"}</definedName>
    <definedName name="ㅏㅣ" hidden="1">{#N/A,#N/A,FALSE,"96 3월물량표";#N/A,#N/A,FALSE,"96 4월물량표";#N/A,#N/A,FALSE,"96 5월물량표"}</definedName>
    <definedName name="ㅓ" hidden="1">{#N/A,#N/A,TRUE,"Y생산";#N/A,#N/A,TRUE,"Y판매";#N/A,#N/A,TRUE,"Y총물량";#N/A,#N/A,TRUE,"Y능력";#N/A,#N/A,TRUE,"YKD"}</definedName>
    <definedName name="ㅗㅎ" hidden="1">{#N/A,#N/A,TRUE,"Y생산";#N/A,#N/A,TRUE,"Y판매";#N/A,#N/A,TRUE,"Y총물량";#N/A,#N/A,TRUE,"Y능력";#N/A,#N/A,TRUE,"YKD"}</definedName>
    <definedName name="ㅣㅣ" hidden="1">{#N/A,#N/A,TRUE,"Y생산";#N/A,#N/A,TRUE,"Y판매";#N/A,#N/A,TRUE,"Y총물량";#N/A,#N/A,TRUE,"Y능력";#N/A,#N/A,TRUE,"YKD"}</definedName>
  </definedNames>
  <calcPr calcId="191029" fullCalcOnLoad="1"/>
</workbook>
</file>

<file path=xl/styles.xml><?xml version="1.0" encoding="utf-8"?>
<styleSheet xmlns="http://schemas.openxmlformats.org/spreadsheetml/2006/main">
  <numFmts count="8">
    <numFmt numFmtId="164" formatCode="#,##0_);[Red]\(#,##0\)"/>
    <numFmt numFmtId="165" formatCode="#,##0.00_);[Red]\(#,##0.00\)"/>
    <numFmt numFmtId="166" formatCode="#,##0.0_);[Red]\(#,##0.0\)"/>
    <numFmt numFmtId="167" formatCode="_-* #,##0_-;\-* #,##0_-;_-* &quot;-&quot;_-;_-@_-"/>
    <numFmt numFmtId="168" formatCode="0.0%"/>
    <numFmt numFmtId="169" formatCode="_-* #,##0.0_-;\-* #,##0.0_-;_-* &quot;-&quot;_-;_-@_-"/>
    <numFmt numFmtId="170" formatCode="0_ "/>
    <numFmt numFmtId="171" formatCode="0_);[Red]\(0\)"/>
  </numFmts>
  <fonts count="2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돋움"/>
      <charset val="129"/>
      <family val="3"/>
      <sz val="11"/>
    </font>
    <font>
      <name val="맑은 고딕"/>
      <charset val="129"/>
      <family val="2"/>
      <sz val="8"/>
      <scheme val="minor"/>
    </font>
    <font>
      <name val="돋움"/>
      <charset val="129"/>
      <family val="3"/>
      <sz val="8"/>
    </font>
    <font>
      <name val="바탕체"/>
      <charset val="129"/>
      <family val="1"/>
      <sz val="12"/>
    </font>
    <font>
      <name val="나눔스퀘어"/>
      <charset val="129"/>
      <family val="3"/>
      <b val="1"/>
      <sz val="12"/>
    </font>
    <font>
      <name val="나눔스퀘어"/>
      <charset val="129"/>
      <family val="3"/>
      <sz val="10"/>
    </font>
    <font>
      <name val="나눔스퀘어"/>
      <charset val="129"/>
      <family val="3"/>
      <b val="1"/>
      <sz val="10"/>
    </font>
    <font>
      <name val="나눔스퀘어"/>
      <charset val="129"/>
      <family val="3"/>
      <color theme="1" tint="0.499984740745262"/>
      <sz val="9"/>
    </font>
    <font>
      <name val="나눔스퀘어"/>
      <charset val="129"/>
      <family val="3"/>
      <sz val="8"/>
    </font>
    <font>
      <name val="나눔스퀘어"/>
      <charset val="129"/>
      <family val="3"/>
      <color theme="1" tint="0.499984740745262"/>
      <sz val="8"/>
    </font>
    <font>
      <name val="나눔스퀘어"/>
      <charset val="129"/>
      <family val="3"/>
      <color rgb="FF0070C0"/>
      <sz val="10"/>
    </font>
    <font>
      <name val="나눔스퀘어"/>
      <charset val="129"/>
      <family val="3"/>
      <color theme="0"/>
      <sz val="10"/>
    </font>
    <font>
      <name val="나눔스퀘어"/>
      <charset val="129"/>
      <family val="3"/>
      <color rgb="FFFF0000"/>
      <sz val="10"/>
    </font>
    <font>
      <name val="나눔스퀘어"/>
      <charset val="129"/>
      <family val="3"/>
      <color theme="0" tint="-0.499984740745262"/>
      <sz val="8"/>
    </font>
    <font>
      <name val="나눔스퀘어"/>
      <charset val="129"/>
      <family val="3"/>
      <b val="1"/>
      <color rgb="FF0070C0"/>
      <sz val="10"/>
    </font>
    <font>
      <name val="나눔스퀘어"/>
      <charset val="129"/>
      <family val="3"/>
      <color theme="0" tint="-0.249977111117893"/>
      <sz val="10"/>
    </font>
    <font>
      <name val="나눔스퀘어"/>
      <charset val="129"/>
      <family val="3"/>
      <color theme="1"/>
      <sz val="10"/>
    </font>
    <font>
      <name val="나눔스퀘어"/>
      <charset val="129"/>
      <family val="3"/>
      <b val="1"/>
      <color rgb="FFFF0000"/>
      <sz val="10"/>
    </font>
    <font>
      <name val="나눔스퀘어"/>
      <charset val="129"/>
      <family val="3"/>
      <b val="1"/>
      <color theme="1"/>
      <sz val="12"/>
    </font>
    <font>
      <name val="나눔스퀘어"/>
      <charset val="129"/>
      <family val="3"/>
      <b val="1"/>
      <sz val="22"/>
    </font>
    <font>
      <name val="나눔스퀘어"/>
      <charset val="129"/>
      <family val="3"/>
      <sz val="11"/>
    </font>
    <font>
      <name val="나눔스퀘어"/>
      <charset val="129"/>
      <family val="3"/>
      <sz val="12"/>
    </font>
    <font>
      <name val="나눔스퀘어"/>
      <charset val="129"/>
      <family val="3"/>
      <sz val="14"/>
    </font>
    <font>
      <name val="나눔스퀘어"/>
      <charset val="129"/>
      <family val="3"/>
      <color theme="1" tint="0.499984740745262"/>
      <sz val="10"/>
    </font>
    <font>
      <name val="나눔스퀘어 Bold"/>
      <charset val="129"/>
      <family val="3"/>
      <sz val="10"/>
    </font>
    <font>
      <name val="나눔스퀘어"/>
      <charset val="129"/>
      <family val="3"/>
      <color theme="1"/>
      <sz val="9"/>
    </font>
    <font>
      <name val="나눔스퀘어 Bold"/>
      <charset val="129"/>
      <family val="3"/>
      <color theme="1"/>
      <sz val="10"/>
    </font>
  </fonts>
  <fills count="7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72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hair">
        <color auto="1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indexed="64"/>
      </left>
      <right/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/>
      <right style="hair">
        <color indexed="64"/>
      </right>
      <top style="thin">
        <color auto="1"/>
      </top>
      <bottom style="hair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auto="1"/>
      </right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</borders>
  <cellStyleXfs count="15">
    <xf numFmtId="0" fontId="1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5" fillId="0" borderId="0"/>
    <xf numFmtId="41" fontId="2" fillId="0" borderId="0"/>
    <xf numFmtId="0" fontId="5" fillId="0" borderId="0"/>
    <xf numFmtId="9" fontId="1" fillId="0" borderId="0" applyAlignment="1">
      <alignment vertical="center"/>
    </xf>
    <xf numFmtId="0" fontId="5" fillId="0" borderId="0"/>
    <xf numFmtId="9" fontId="2" fillId="0" borderId="0"/>
    <xf numFmtId="41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41" fontId="2" fillId="0" borderId="0" applyAlignment="1">
      <alignment vertical="center"/>
    </xf>
    <xf numFmtId="9" fontId="2" fillId="0" borderId="0" applyAlignment="1">
      <alignment vertical="center"/>
    </xf>
    <xf numFmtId="0" fontId="1" fillId="0" borderId="0" applyAlignment="1">
      <alignment vertical="center"/>
    </xf>
  </cellStyleXfs>
  <cellXfs count="457">
    <xf numFmtId="0" fontId="0" fillId="0" borderId="0" applyAlignment="1" pivotButton="0" quotePrefix="0" xfId="0">
      <alignment vertical="center"/>
    </xf>
    <xf numFmtId="49" fontId="6" fillId="0" borderId="0" applyAlignment="1" pivotButton="0" quotePrefix="0" xfId="1">
      <alignment horizontal="center" vertical="center"/>
    </xf>
    <xf numFmtId="49" fontId="7" fillId="0" borderId="0" applyAlignment="1" pivotButton="0" quotePrefix="0" xfId="1">
      <alignment vertical="center"/>
    </xf>
    <xf numFmtId="49" fontId="7" fillId="2" borderId="5" applyAlignment="1" pivotButton="0" quotePrefix="0" xfId="1">
      <alignment horizontal="center" vertical="center"/>
    </xf>
    <xf numFmtId="49" fontId="7" fillId="2" borderId="6" applyAlignment="1" pivotButton="0" quotePrefix="0" xfId="1">
      <alignment horizontal="center" vertical="center"/>
    </xf>
    <xf numFmtId="49" fontId="7" fillId="2" borderId="7" applyAlignment="1" pivotButton="0" quotePrefix="0" xfId="1">
      <alignment horizontal="center" vertical="center"/>
    </xf>
    <xf numFmtId="49" fontId="7" fillId="0" borderId="9" applyAlignment="1" pivotButton="0" quotePrefix="0" xfId="1">
      <alignment horizontal="center" vertical="center"/>
    </xf>
    <xf numFmtId="49" fontId="7" fillId="0" borderId="9" applyAlignment="1" pivotButton="0" quotePrefix="0" xfId="1">
      <alignment horizontal="left" vertical="center"/>
    </xf>
    <xf numFmtId="49" fontId="9" fillId="0" borderId="10" applyAlignment="1" pivotButton="0" quotePrefix="0" xfId="1">
      <alignment horizontal="left" vertical="center"/>
    </xf>
    <xf numFmtId="49" fontId="7" fillId="0" borderId="23" applyAlignment="1" pivotButton="0" quotePrefix="0" xfId="1">
      <alignment horizontal="center" vertical="center"/>
    </xf>
    <xf numFmtId="49" fontId="7" fillId="0" borderId="23" applyAlignment="1" pivotButton="0" quotePrefix="0" xfId="1">
      <alignment horizontal="left" vertical="center"/>
    </xf>
    <xf numFmtId="49" fontId="9" fillId="0" borderId="24" applyAlignment="1" pivotButton="0" quotePrefix="0" xfId="1">
      <alignment horizontal="left" vertical="center"/>
    </xf>
    <xf numFmtId="49" fontId="6" fillId="0" borderId="0" applyAlignment="1" pivotButton="0" quotePrefix="0" xfId="1">
      <alignment vertical="center"/>
    </xf>
    <xf numFmtId="49" fontId="7" fillId="2" borderId="28" applyAlignment="1" pivotButton="0" quotePrefix="0" xfId="1">
      <alignment horizontal="center" vertical="center"/>
    </xf>
    <xf numFmtId="49" fontId="7" fillId="0" borderId="33" applyAlignment="1" pivotButton="0" quotePrefix="0" xfId="1">
      <alignment vertical="center"/>
    </xf>
    <xf numFmtId="49" fontId="7" fillId="0" borderId="11" applyAlignment="1" pivotButton="0" quotePrefix="0" xfId="1">
      <alignment vertical="center"/>
    </xf>
    <xf numFmtId="49" fontId="7" fillId="0" borderId="13" applyAlignment="1" pivotButton="0" quotePrefix="0" xfId="1">
      <alignment vertical="center"/>
    </xf>
    <xf numFmtId="49" fontId="7" fillId="0" borderId="13" applyAlignment="1" pivotButton="0" quotePrefix="0" xfId="1">
      <alignment horizontal="center" vertical="center"/>
    </xf>
    <xf numFmtId="49" fontId="7" fillId="0" borderId="14" applyAlignment="1" pivotButton="0" quotePrefix="0" xfId="1">
      <alignment horizontal="center" vertical="center"/>
    </xf>
    <xf numFmtId="49" fontId="7" fillId="0" borderId="34" applyAlignment="1" pivotButton="0" quotePrefix="0" xfId="1">
      <alignment vertical="center"/>
    </xf>
    <xf numFmtId="49" fontId="7" fillId="0" borderId="15" applyAlignment="1" pivotButton="0" quotePrefix="0" xfId="1">
      <alignment vertical="center"/>
    </xf>
    <xf numFmtId="49" fontId="7" fillId="0" borderId="16" applyAlignment="1" pivotButton="0" quotePrefix="0" xfId="1">
      <alignment vertical="center"/>
    </xf>
    <xf numFmtId="49" fontId="7" fillId="0" borderId="16" applyAlignment="1" pivotButton="0" quotePrefix="0" xfId="1">
      <alignment horizontal="center" vertical="center"/>
    </xf>
    <xf numFmtId="49" fontId="7" fillId="0" borderId="17" applyAlignment="1" pivotButton="0" quotePrefix="0" xfId="1">
      <alignment horizontal="center" vertical="center"/>
    </xf>
    <xf numFmtId="49" fontId="11" fillId="0" borderId="2" applyAlignment="1" pivotButton="0" quotePrefix="0" xfId="1">
      <alignment horizontal="left" vertical="center" wrapText="1"/>
    </xf>
    <xf numFmtId="49" fontId="11" fillId="0" borderId="3" applyAlignment="1" pivotButton="0" quotePrefix="0" xfId="1">
      <alignment horizontal="left" vertical="center" wrapText="1"/>
    </xf>
    <xf numFmtId="49" fontId="11" fillId="0" borderId="4" applyAlignment="1" pivotButton="0" quotePrefix="0" xfId="1">
      <alignment horizontal="left" vertical="center" wrapText="1"/>
    </xf>
    <xf numFmtId="49" fontId="7" fillId="0" borderId="0" applyAlignment="1" pivotButton="0" quotePrefix="0" xfId="1">
      <alignment horizontal="center" vertical="center"/>
    </xf>
    <xf numFmtId="49" fontId="10" fillId="0" borderId="51" applyAlignment="1" pivotButton="0" quotePrefix="0" xfId="1">
      <alignment horizontal="center" vertical="center" wrapText="1"/>
    </xf>
    <xf numFmtId="49" fontId="7" fillId="0" borderId="14" applyAlignment="1" pivotButton="0" quotePrefix="0" xfId="1">
      <alignment vertical="center"/>
    </xf>
    <xf numFmtId="49" fontId="7" fillId="0" borderId="17" applyAlignment="1" pivotButton="0" quotePrefix="0" xfId="1">
      <alignment vertical="center"/>
    </xf>
    <xf numFmtId="49" fontId="11" fillId="0" borderId="2" applyAlignment="1" pivotButton="0" quotePrefix="0" xfId="1">
      <alignment horizontal="center" vertical="center" wrapText="1"/>
    </xf>
    <xf numFmtId="49" fontId="11" fillId="0" borderId="3" applyAlignment="1" pivotButton="0" quotePrefix="0" xfId="1">
      <alignment horizontal="center" vertical="center" wrapText="1"/>
    </xf>
    <xf numFmtId="49" fontId="11" fillId="0" borderId="4" applyAlignment="1" pivotButton="0" quotePrefix="0" xfId="1">
      <alignment horizontal="center" vertical="center" wrapText="1"/>
    </xf>
    <xf numFmtId="49" fontId="7" fillId="0" borderId="11" applyAlignment="1" pivotButton="0" quotePrefix="0" xfId="1">
      <alignment horizontal="center" vertical="center"/>
    </xf>
    <xf numFmtId="49" fontId="7" fillId="0" borderId="13" applyAlignment="1" pivotButton="0" quotePrefix="0" xfId="1">
      <alignment horizontal="left" vertical="center"/>
    </xf>
    <xf numFmtId="49" fontId="7" fillId="0" borderId="14" applyAlignment="1" pivotButton="0" quotePrefix="0" xfId="1">
      <alignment horizontal="left" vertical="center"/>
    </xf>
    <xf numFmtId="49" fontId="7" fillId="0" borderId="15" applyAlignment="1" pivotButton="0" quotePrefix="0" xfId="1">
      <alignment horizontal="center" vertical="center"/>
    </xf>
    <xf numFmtId="49" fontId="7" fillId="0" borderId="16" applyAlignment="1" pivotButton="0" quotePrefix="0" xfId="1">
      <alignment horizontal="left" vertical="center"/>
    </xf>
    <xf numFmtId="49" fontId="7" fillId="0" borderId="17" applyAlignment="1" pivotButton="0" quotePrefix="0" xfId="1">
      <alignment horizontal="left" vertical="center"/>
    </xf>
    <xf numFmtId="49" fontId="7" fillId="0" borderId="2" applyAlignment="1" pivotButton="0" quotePrefix="0" xfId="1">
      <alignment horizontal="center" vertical="center"/>
    </xf>
    <xf numFmtId="49" fontId="11" fillId="0" borderId="3" applyAlignment="1" pivotButton="0" quotePrefix="0" xfId="1">
      <alignment vertical="center" wrapText="1"/>
    </xf>
    <xf numFmtId="0" fontId="6" fillId="0" borderId="0" applyAlignment="1" pivotButton="0" quotePrefix="0" xfId="2">
      <alignment vertical="center"/>
    </xf>
    <xf numFmtId="0" fontId="7" fillId="0" borderId="0" applyAlignment="1" pivotButton="0" quotePrefix="0" xfId="2">
      <alignment vertical="center"/>
    </xf>
    <xf numFmtId="0" fontId="7" fillId="0" borderId="0" pivotButton="0" quotePrefix="0" xfId="2"/>
    <xf numFmtId="0" fontId="7" fillId="0" borderId="16" applyAlignment="1" pivotButton="0" quotePrefix="0" xfId="2">
      <alignment vertical="center" wrapText="1"/>
    </xf>
    <xf numFmtId="0" fontId="7" fillId="0" borderId="16" applyAlignment="1" pivotButton="0" quotePrefix="0" xfId="3">
      <alignment horizontal="center" vertical="center"/>
    </xf>
    <xf numFmtId="0" fontId="7" fillId="0" borderId="16" applyAlignment="1" pivotButton="0" quotePrefix="0" xfId="4">
      <alignment horizontal="center" vertical="center"/>
    </xf>
    <xf numFmtId="3" fontId="7" fillId="0" borderId="16" applyAlignment="1" pivotButton="0" quotePrefix="0" xfId="2">
      <alignment vertical="center" wrapText="1"/>
    </xf>
    <xf numFmtId="164" fontId="7" fillId="0" borderId="16" applyAlignment="1" pivotButton="0" quotePrefix="0" xfId="4">
      <alignment horizontal="center" vertical="center"/>
    </xf>
    <xf numFmtId="0" fontId="7" fillId="0" borderId="17" pivotButton="0" quotePrefix="0" xfId="2"/>
    <xf numFmtId="165" fontId="7" fillId="0" borderId="16" applyAlignment="1" pivotButton="0" quotePrefix="0" xfId="4">
      <alignment horizontal="center" vertical="center"/>
    </xf>
    <xf numFmtId="166" fontId="12" fillId="0" borderId="16" applyAlignment="1" pivotButton="0" quotePrefix="0" xfId="4">
      <alignment horizontal="center" vertical="center"/>
    </xf>
    <xf numFmtId="0" fontId="7" fillId="0" borderId="16" applyAlignment="1" pivotButton="0" quotePrefix="0" xfId="2">
      <alignment horizontal="center" vertical="center"/>
    </xf>
    <xf numFmtId="9" fontId="7" fillId="0" borderId="16" applyAlignment="1" pivotButton="0" quotePrefix="0" xfId="2">
      <alignment horizontal="center" vertical="center"/>
    </xf>
    <xf numFmtId="9" fontId="12" fillId="0" borderId="16" applyAlignment="1" pivotButton="0" quotePrefix="0" xfId="2">
      <alignment horizontal="center" vertical="center"/>
    </xf>
    <xf numFmtId="9" fontId="13" fillId="0" borderId="16" applyAlignment="1" pivotButton="0" quotePrefix="0" xfId="2">
      <alignment horizontal="center" vertical="center"/>
    </xf>
    <xf numFmtId="164" fontId="14" fillId="0" borderId="16" applyAlignment="1" pivotButton="0" quotePrefix="0" xfId="4">
      <alignment horizontal="center" vertical="center"/>
    </xf>
    <xf numFmtId="9" fontId="14" fillId="0" borderId="16" applyAlignment="1" pivotButton="0" quotePrefix="0" xfId="6">
      <alignment horizontal="center" vertical="center"/>
    </xf>
    <xf numFmtId="9" fontId="7" fillId="0" borderId="16" applyAlignment="1" pivotButton="0" quotePrefix="0" xfId="7">
      <alignment horizontal="center" vertical="center"/>
    </xf>
    <xf numFmtId="167" fontId="7" fillId="0" borderId="16" applyAlignment="1" pivotButton="0" quotePrefix="0" xfId="4">
      <alignment horizontal="center" vertical="center"/>
    </xf>
    <xf numFmtId="9" fontId="7" fillId="0" borderId="16" applyAlignment="1" pivotButton="0" quotePrefix="0" xfId="2">
      <alignment vertical="center"/>
    </xf>
    <xf numFmtId="0" fontId="7" fillId="0" borderId="16" applyAlignment="1" pivotButton="0" quotePrefix="0" xfId="2">
      <alignment vertical="center"/>
    </xf>
    <xf numFmtId="0" fontId="7" fillId="0" borderId="16" applyAlignment="1" pivotButton="0" quotePrefix="0" xfId="7">
      <alignment horizontal="center" vertical="center"/>
    </xf>
    <xf numFmtId="167" fontId="12" fillId="0" borderId="16" applyAlignment="1" pivotButton="0" quotePrefix="0" xfId="4">
      <alignment horizontal="center" vertical="center"/>
    </xf>
    <xf numFmtId="3" fontId="7" fillId="0" borderId="16" applyAlignment="1" pivotButton="0" quotePrefix="0" xfId="5">
      <alignment horizontal="center" vertical="center"/>
    </xf>
    <xf numFmtId="3" fontId="12" fillId="0" borderId="16" applyAlignment="1" pivotButton="0" quotePrefix="0" xfId="5">
      <alignment horizontal="center" vertical="center"/>
    </xf>
    <xf numFmtId="168" fontId="7" fillId="0" borderId="16" applyAlignment="1" pivotButton="0" quotePrefix="0" xfId="5">
      <alignment horizontal="center" vertical="center"/>
    </xf>
    <xf numFmtId="169" fontId="14" fillId="0" borderId="16" applyAlignment="1" pivotButton="0" quotePrefix="0" xfId="4">
      <alignment horizontal="center" vertical="center"/>
    </xf>
    <xf numFmtId="9" fontId="14" fillId="0" borderId="16" applyAlignment="1" pivotButton="0" quotePrefix="0" xfId="2">
      <alignment horizontal="center" vertical="center"/>
    </xf>
    <xf numFmtId="0" fontId="7" fillId="0" borderId="16" applyAlignment="1" pivotButton="0" quotePrefix="0" xfId="5">
      <alignment horizontal="center" vertical="center"/>
    </xf>
    <xf numFmtId="170" fontId="7" fillId="0" borderId="16" applyAlignment="1" pivotButton="0" quotePrefix="0" xfId="5">
      <alignment horizontal="center" vertical="center"/>
    </xf>
    <xf numFmtId="170" fontId="12" fillId="0" borderId="16" applyAlignment="1" pivotButton="0" quotePrefix="0" xfId="5">
      <alignment horizontal="center" vertical="center"/>
    </xf>
    <xf numFmtId="9" fontId="7" fillId="0" borderId="16" applyAlignment="1" pivotButton="0" quotePrefix="0" xfId="8">
      <alignment horizontal="center" vertical="center"/>
    </xf>
    <xf numFmtId="167" fontId="7" fillId="0" borderId="16" applyAlignment="1" pivotButton="0" quotePrefix="0" xfId="9">
      <alignment horizontal="center" vertical="center"/>
    </xf>
    <xf numFmtId="167" fontId="12" fillId="0" borderId="16" applyAlignment="1" pivotButton="0" quotePrefix="0" xfId="9">
      <alignment horizontal="center" vertical="center"/>
    </xf>
    <xf numFmtId="0" fontId="7" fillId="0" borderId="15" applyAlignment="1" pivotButton="0" quotePrefix="0" xfId="2">
      <alignment horizontal="center" vertical="center" wrapText="1"/>
    </xf>
    <xf numFmtId="0" fontId="7" fillId="0" borderId="39" applyAlignment="1" pivotButton="0" quotePrefix="0" xfId="2">
      <alignment horizontal="center" vertical="center" wrapText="1"/>
    </xf>
    <xf numFmtId="0" fontId="7" fillId="0" borderId="12" applyAlignment="1" pivotButton="0" quotePrefix="0" xfId="2">
      <alignment horizontal="center" vertical="center"/>
    </xf>
    <xf numFmtId="9" fontId="7" fillId="0" borderId="12" applyAlignment="1" pivotButton="0" quotePrefix="0" xfId="8">
      <alignment horizontal="center" vertical="center"/>
    </xf>
    <xf numFmtId="9" fontId="12" fillId="0" borderId="12" applyAlignment="1" pivotButton="0" quotePrefix="0" xfId="2">
      <alignment horizontal="center" vertical="center"/>
    </xf>
    <xf numFmtId="0" fontId="7" fillId="0" borderId="40" pivotButton="0" quotePrefix="0" xfId="2"/>
    <xf numFmtId="0" fontId="7" fillId="0" borderId="15" applyAlignment="1" pivotButton="0" quotePrefix="0" xfId="2">
      <alignment horizontal="center" vertical="center"/>
    </xf>
    <xf numFmtId="0" fontId="7" fillId="2" borderId="5" applyAlignment="1" pivotButton="0" quotePrefix="0" xfId="2">
      <alignment horizontal="center" vertical="center"/>
    </xf>
    <xf numFmtId="0" fontId="7" fillId="2" borderId="6" applyAlignment="1" pivotButton="0" quotePrefix="0" xfId="2">
      <alignment horizontal="center" vertical="center"/>
    </xf>
    <xf numFmtId="0" fontId="7" fillId="2" borderId="7" applyAlignment="1" pivotButton="0" quotePrefix="0" xfId="2">
      <alignment horizontal="center" vertical="center"/>
    </xf>
    <xf numFmtId="49" fontId="11" fillId="0" borderId="19" applyAlignment="1" pivotButton="0" quotePrefix="0" xfId="1">
      <alignment vertical="center" wrapText="1"/>
    </xf>
    <xf numFmtId="49" fontId="11" fillId="0" borderId="23" applyAlignment="1" pivotButton="0" quotePrefix="0" xfId="1">
      <alignment vertical="center" wrapText="1"/>
    </xf>
    <xf numFmtId="49" fontId="11" fillId="0" borderId="24" applyAlignment="1" pivotButton="0" quotePrefix="0" xfId="1">
      <alignment vertical="center" wrapText="1"/>
    </xf>
    <xf numFmtId="49" fontId="11" fillId="0" borderId="4" applyAlignment="1" pivotButton="0" quotePrefix="0" xfId="1">
      <alignment vertical="center" wrapText="1"/>
    </xf>
    <xf numFmtId="49" fontId="7" fillId="0" borderId="21" applyAlignment="1" pivotButton="0" quotePrefix="0" xfId="1">
      <alignment horizontal="left" vertical="center"/>
    </xf>
    <xf numFmtId="171" fontId="7" fillId="0" borderId="9" applyAlignment="1" pivotButton="0" quotePrefix="0" xfId="1">
      <alignment horizontal="right" vertical="center"/>
    </xf>
    <xf numFmtId="49" fontId="7" fillId="0" borderId="52" applyAlignment="1" pivotButton="0" quotePrefix="0" xfId="1">
      <alignment vertical="center"/>
    </xf>
    <xf numFmtId="49" fontId="7" fillId="0" borderId="25" applyAlignment="1" pivotButton="0" quotePrefix="0" xfId="1">
      <alignment vertical="center"/>
    </xf>
    <xf numFmtId="49" fontId="7" fillId="0" borderId="26" applyAlignment="1" pivotButton="0" quotePrefix="0" xfId="1">
      <alignment vertical="center"/>
    </xf>
    <xf numFmtId="49" fontId="7" fillId="0" borderId="35" applyAlignment="1" pivotButton="0" quotePrefix="0" xfId="1">
      <alignment vertical="center"/>
    </xf>
    <xf numFmtId="49" fontId="6" fillId="0" borderId="0" applyAlignment="1" pivotButton="0" quotePrefix="0" xfId="1">
      <alignment horizontal="left" vertical="center"/>
    </xf>
    <xf numFmtId="49" fontId="9" fillId="0" borderId="0" applyAlignment="1" pivotButton="0" quotePrefix="0" xfId="1">
      <alignment horizontal="right"/>
    </xf>
    <xf numFmtId="49" fontId="15" fillId="0" borderId="0" applyAlignment="1" pivotButton="0" quotePrefix="0" xfId="1">
      <alignment horizontal="left" vertical="center"/>
    </xf>
    <xf numFmtId="49" fontId="7" fillId="2" borderId="53" applyAlignment="1" pivotButton="0" quotePrefix="0" xfId="1">
      <alignment horizontal="center" vertical="center"/>
    </xf>
    <xf numFmtId="49" fontId="7" fillId="0" borderId="45" applyAlignment="1" pivotButton="0" quotePrefix="0" xfId="1">
      <alignment horizontal="center" vertical="center"/>
    </xf>
    <xf numFmtId="49" fontId="7" fillId="0" borderId="47" applyAlignment="1" pivotButton="0" quotePrefix="0" xfId="1">
      <alignment horizontal="center" vertical="center"/>
    </xf>
    <xf numFmtId="49" fontId="7" fillId="0" borderId="39" applyAlignment="1" pivotButton="0" quotePrefix="0" xfId="1">
      <alignment horizontal="center" vertical="center"/>
    </xf>
    <xf numFmtId="49" fontId="7" fillId="0" borderId="12" applyAlignment="1" pivotButton="0" quotePrefix="0" xfId="1">
      <alignment horizontal="center" vertical="center"/>
    </xf>
    <xf numFmtId="49" fontId="7" fillId="0" borderId="48" applyAlignment="1" pivotButton="0" quotePrefix="0" xfId="1">
      <alignment horizontal="center" vertical="center"/>
    </xf>
    <xf numFmtId="49" fontId="7" fillId="0" borderId="40" applyAlignment="1" pivotButton="0" quotePrefix="0" xfId="1">
      <alignment vertical="center"/>
    </xf>
    <xf numFmtId="49" fontId="7" fillId="2" borderId="27" applyAlignment="1" pivotButton="0" quotePrefix="0" xfId="1">
      <alignment horizontal="center" vertical="center"/>
    </xf>
    <xf numFmtId="49" fontId="7" fillId="2" borderId="50" applyAlignment="1" pivotButton="0" quotePrefix="0" xfId="1">
      <alignment horizontal="center" vertical="center"/>
    </xf>
    <xf numFmtId="49" fontId="7" fillId="0" borderId="30" applyAlignment="1" pivotButton="0" quotePrefix="0" xfId="1">
      <alignment horizontal="center" vertical="center"/>
    </xf>
    <xf numFmtId="49" fontId="16" fillId="0" borderId="29" applyAlignment="1" pivotButton="0" quotePrefix="0" xfId="1">
      <alignment horizontal="right" vertical="center"/>
    </xf>
    <xf numFmtId="171" fontId="7" fillId="0" borderId="18" applyAlignment="1" pivotButton="0" quotePrefix="0" xfId="1">
      <alignment horizontal="right" vertical="center"/>
    </xf>
    <xf numFmtId="171" fontId="7" fillId="0" borderId="10" applyAlignment="1" pivotButton="0" quotePrefix="0" xfId="1">
      <alignment horizontal="right" vertical="center"/>
    </xf>
    <xf numFmtId="49" fontId="7" fillId="3" borderId="30" applyAlignment="1" pivotButton="0" quotePrefix="0" xfId="1">
      <alignment horizontal="center" vertical="center"/>
    </xf>
    <xf numFmtId="49" fontId="16" fillId="3" borderId="29" applyAlignment="1" pivotButton="0" quotePrefix="0" xfId="1">
      <alignment horizontal="right" vertical="center"/>
    </xf>
    <xf numFmtId="171" fontId="7" fillId="3" borderId="18" applyAlignment="1" pivotButton="0" quotePrefix="0" xfId="1">
      <alignment horizontal="right" vertical="center"/>
    </xf>
    <xf numFmtId="171" fontId="7" fillId="3" borderId="9" applyAlignment="1" pivotButton="0" quotePrefix="0" xfId="1">
      <alignment horizontal="right" vertical="center"/>
    </xf>
    <xf numFmtId="171" fontId="7" fillId="3" borderId="10" applyAlignment="1" pivotButton="0" quotePrefix="0" xfId="1">
      <alignment horizontal="right" vertical="center"/>
    </xf>
    <xf numFmtId="49" fontId="7" fillId="4" borderId="30" applyAlignment="1" pivotButton="0" quotePrefix="0" xfId="1">
      <alignment horizontal="center" vertical="center"/>
    </xf>
    <xf numFmtId="49" fontId="16" fillId="4" borderId="29" applyAlignment="1" pivotButton="0" quotePrefix="0" xfId="1">
      <alignment horizontal="right" vertical="center"/>
    </xf>
    <xf numFmtId="171" fontId="7" fillId="4" borderId="18" applyAlignment="1" pivotButton="0" quotePrefix="0" xfId="1">
      <alignment horizontal="right" vertical="center"/>
    </xf>
    <xf numFmtId="171" fontId="7" fillId="4" borderId="9" applyAlignment="1" pivotButton="0" quotePrefix="0" xfId="1">
      <alignment horizontal="right" vertical="center"/>
    </xf>
    <xf numFmtId="171" fontId="7" fillId="4" borderId="10" applyAlignment="1" pivotButton="0" quotePrefix="0" xfId="1">
      <alignment horizontal="right" vertical="center"/>
    </xf>
    <xf numFmtId="0" fontId="7" fillId="4" borderId="18" applyAlignment="1" pivotButton="0" quotePrefix="0" xfId="1">
      <alignment horizontal="right" vertical="center"/>
    </xf>
    <xf numFmtId="49" fontId="7" fillId="0" borderId="33" applyAlignment="1" pivotButton="0" quotePrefix="0" xfId="1">
      <alignment horizontal="center" vertical="center"/>
    </xf>
    <xf numFmtId="49" fontId="16" fillId="0" borderId="32" applyAlignment="1" pivotButton="0" quotePrefix="0" xfId="1">
      <alignment horizontal="right" vertical="center"/>
    </xf>
    <xf numFmtId="171" fontId="7" fillId="0" borderId="46" applyAlignment="1" pivotButton="0" quotePrefix="0" xfId="1">
      <alignment horizontal="right" vertical="center"/>
    </xf>
    <xf numFmtId="171" fontId="7" fillId="0" borderId="13" applyAlignment="1" pivotButton="0" quotePrefix="0" xfId="1">
      <alignment horizontal="right" vertical="center"/>
    </xf>
    <xf numFmtId="171" fontId="7" fillId="0" borderId="14" applyAlignment="1" pivotButton="0" quotePrefix="0" xfId="1">
      <alignment horizontal="right" vertical="center"/>
    </xf>
    <xf numFmtId="49" fontId="11" fillId="0" borderId="0" applyAlignment="1" pivotButton="0" quotePrefix="0" xfId="1">
      <alignment vertical="center"/>
    </xf>
    <xf numFmtId="49" fontId="11" fillId="0" borderId="35" applyAlignment="1" pivotButton="0" quotePrefix="0" xfId="1">
      <alignment vertical="center"/>
    </xf>
    <xf numFmtId="49" fontId="11" fillId="0" borderId="37" applyAlignment="1" pivotButton="0" quotePrefix="0" xfId="1">
      <alignment vertical="center"/>
    </xf>
    <xf numFmtId="49" fontId="11" fillId="0" borderId="38" applyAlignment="1" pivotButton="0" quotePrefix="0" xfId="1">
      <alignment vertical="center"/>
    </xf>
    <xf numFmtId="49" fontId="17" fillId="0" borderId="11" applyAlignment="1" pivotButton="0" quotePrefix="0" xfId="1">
      <alignment horizontal="center" vertical="center"/>
    </xf>
    <xf numFmtId="49" fontId="17" fillId="0" borderId="13" applyAlignment="1" pivotButton="0" quotePrefix="0" xfId="1">
      <alignment horizontal="center" vertical="center"/>
    </xf>
    <xf numFmtId="49" fontId="17" fillId="0" borderId="13" applyAlignment="1" pivotButton="0" quotePrefix="0" xfId="1">
      <alignment vertical="center"/>
    </xf>
    <xf numFmtId="14" fontId="17" fillId="0" borderId="13" applyAlignment="1" pivotButton="0" quotePrefix="0" xfId="1">
      <alignment horizontal="center" vertical="center"/>
    </xf>
    <xf numFmtId="49" fontId="17" fillId="0" borderId="14" applyAlignment="1" pivotButton="0" quotePrefix="0" xfId="1">
      <alignment vertical="center"/>
    </xf>
    <xf numFmtId="49" fontId="17" fillId="0" borderId="15" applyAlignment="1" pivotButton="0" quotePrefix="0" xfId="1">
      <alignment horizontal="center" vertical="center"/>
    </xf>
    <xf numFmtId="49" fontId="17" fillId="0" borderId="16" applyAlignment="1" pivotButton="0" quotePrefix="0" xfId="1">
      <alignment horizontal="center" vertical="center"/>
    </xf>
    <xf numFmtId="49" fontId="17" fillId="0" borderId="16" applyAlignment="1" pivotButton="0" quotePrefix="0" xfId="1">
      <alignment vertical="center"/>
    </xf>
    <xf numFmtId="14" fontId="17" fillId="0" borderId="16" applyAlignment="1" pivotButton="0" quotePrefix="0" xfId="1">
      <alignment horizontal="center" vertical="center"/>
    </xf>
    <xf numFmtId="49" fontId="17" fillId="0" borderId="17" applyAlignment="1" pivotButton="0" quotePrefix="0" xfId="1">
      <alignment vertical="center"/>
    </xf>
    <xf numFmtId="14" fontId="7" fillId="0" borderId="16" applyAlignment="1" pivotButton="0" quotePrefix="0" xfId="1">
      <alignment horizontal="center" vertical="center"/>
    </xf>
    <xf numFmtId="49" fontId="7" fillId="0" borderId="12" applyAlignment="1" pivotButton="0" quotePrefix="0" xfId="1">
      <alignment vertical="center"/>
    </xf>
    <xf numFmtId="49" fontId="9" fillId="0" borderId="0" applyAlignment="1" pivotButton="0" quotePrefix="0" xfId="1">
      <alignment horizontal="right" vertical="center"/>
    </xf>
    <xf numFmtId="0" fontId="18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vertical="center"/>
    </xf>
    <xf numFmtId="0" fontId="18" fillId="2" borderId="41" applyAlignment="1" pivotButton="0" quotePrefix="0" xfId="0">
      <alignment horizontal="center" vertical="center"/>
    </xf>
    <xf numFmtId="0" fontId="18" fillId="2" borderId="42" applyAlignment="1" pivotButton="0" quotePrefix="0" xfId="0">
      <alignment horizontal="center" vertical="center"/>
    </xf>
    <xf numFmtId="0" fontId="18" fillId="0" borderId="11" applyAlignment="1" pivotButton="0" quotePrefix="0" xfId="0">
      <alignment horizontal="center" vertical="center"/>
    </xf>
    <xf numFmtId="0" fontId="18" fillId="0" borderId="13" applyAlignment="1" pivotButton="0" quotePrefix="0" xfId="0">
      <alignment horizontal="center" vertical="center"/>
    </xf>
    <xf numFmtId="0" fontId="18" fillId="0" borderId="13" applyAlignment="1" pivotButton="0" quotePrefix="0" xfId="0">
      <alignment vertical="center"/>
    </xf>
    <xf numFmtId="0" fontId="18" fillId="0" borderId="14" applyAlignment="1" pivotButton="0" quotePrefix="0" xfId="0">
      <alignment horizontal="center" vertical="center"/>
    </xf>
    <xf numFmtId="0" fontId="18" fillId="0" borderId="15" applyAlignment="1" pivotButton="0" quotePrefix="0" xfId="0">
      <alignment horizontal="center" vertical="center"/>
    </xf>
    <xf numFmtId="0" fontId="18" fillId="0" borderId="16" applyAlignment="1" pivotButton="0" quotePrefix="0" xfId="0">
      <alignment horizontal="center" vertical="center"/>
    </xf>
    <xf numFmtId="0" fontId="18" fillId="0" borderId="16" applyAlignment="1" pivotButton="0" quotePrefix="0" xfId="0">
      <alignment vertical="center"/>
    </xf>
    <xf numFmtId="0" fontId="18" fillId="0" borderId="17" applyAlignment="1" pivotButton="0" quotePrefix="0" xfId="0">
      <alignment horizontal="center" vertical="center"/>
    </xf>
    <xf numFmtId="0" fontId="18" fillId="0" borderId="39" applyAlignment="1" pivotButton="0" quotePrefix="0" xfId="0">
      <alignment horizontal="center" vertical="center"/>
    </xf>
    <xf numFmtId="0" fontId="18" fillId="0" borderId="12" applyAlignment="1" pivotButton="0" quotePrefix="0" xfId="0">
      <alignment horizontal="center" vertical="center"/>
    </xf>
    <xf numFmtId="0" fontId="18" fillId="0" borderId="12" applyAlignment="1" pivotButton="0" quotePrefix="0" xfId="0">
      <alignment vertical="center"/>
    </xf>
    <xf numFmtId="0" fontId="18" fillId="0" borderId="40" applyAlignment="1" pivotButton="0" quotePrefix="0" xfId="0">
      <alignment horizontal="center" vertical="center"/>
    </xf>
    <xf numFmtId="0" fontId="6" fillId="0" borderId="0" applyAlignment="1" pivotButton="0" quotePrefix="0" xfId="2">
      <alignment horizontal="left" vertical="center"/>
    </xf>
    <xf numFmtId="0" fontId="7" fillId="0" borderId="0" applyAlignment="1" pivotButton="0" quotePrefix="0" xfId="2">
      <alignment horizontal="left" vertical="center"/>
    </xf>
    <xf numFmtId="0" fontId="19" fillId="0" borderId="0" applyAlignment="1" pivotButton="0" quotePrefix="0" xfId="2">
      <alignment horizontal="right" vertical="center"/>
    </xf>
    <xf numFmtId="0" fontId="7" fillId="0" borderId="11" applyAlignment="1" pivotButton="0" quotePrefix="0" xfId="2">
      <alignment vertical="center" wrapText="1"/>
    </xf>
    <xf numFmtId="171" fontId="7" fillId="0" borderId="13" applyAlignment="1" pivotButton="0" quotePrefix="0" xfId="4">
      <alignment horizontal="center" vertical="center"/>
    </xf>
    <xf numFmtId="171" fontId="7" fillId="0" borderId="13" applyAlignment="1" pivotButton="0" quotePrefix="0" xfId="6">
      <alignment horizontal="center" vertical="center"/>
    </xf>
    <xf numFmtId="9" fontId="7" fillId="0" borderId="13" applyAlignment="1" pivotButton="0" quotePrefix="0" xfId="13">
      <alignment horizontal="center" vertical="center"/>
    </xf>
    <xf numFmtId="9" fontId="7" fillId="0" borderId="13" applyAlignment="1" pivotButton="0" quotePrefix="0" xfId="6">
      <alignment horizontal="center" vertical="center"/>
    </xf>
    <xf numFmtId="164" fontId="7" fillId="0" borderId="14" applyAlignment="1" pivotButton="0" quotePrefix="0" xfId="4">
      <alignment horizontal="left" vertical="center"/>
    </xf>
    <xf numFmtId="0" fontId="7" fillId="0" borderId="15" applyAlignment="1" pivotButton="0" quotePrefix="0" xfId="2">
      <alignment vertical="center" wrapText="1"/>
    </xf>
    <xf numFmtId="171" fontId="7" fillId="0" borderId="16" applyAlignment="1" pivotButton="0" quotePrefix="0" xfId="5">
      <alignment horizontal="center" vertical="center"/>
    </xf>
    <xf numFmtId="9" fontId="7" fillId="0" borderId="16" applyAlignment="1" pivotButton="0" quotePrefix="0" xfId="13">
      <alignment horizontal="center" vertical="center"/>
    </xf>
    <xf numFmtId="164" fontId="7" fillId="0" borderId="17" applyAlignment="1" pivotButton="0" quotePrefix="0" xfId="4">
      <alignment horizontal="left" vertical="center"/>
    </xf>
    <xf numFmtId="171" fontId="7" fillId="0" borderId="16" applyAlignment="1" pivotButton="0" quotePrefix="0" xfId="9">
      <alignment horizontal="center" vertical="center"/>
    </xf>
    <xf numFmtId="171" fontId="7" fillId="0" borderId="16" applyAlignment="1" pivotButton="0" quotePrefix="0" xfId="4">
      <alignment horizontal="center" vertical="center"/>
    </xf>
    <xf numFmtId="0" fontId="7" fillId="0" borderId="39" applyAlignment="1" pivotButton="0" quotePrefix="0" xfId="2">
      <alignment vertical="center" wrapText="1"/>
    </xf>
    <xf numFmtId="171" fontId="7" fillId="0" borderId="12" applyAlignment="1" pivotButton="0" quotePrefix="0" xfId="5">
      <alignment horizontal="center" vertical="center"/>
    </xf>
    <xf numFmtId="9" fontId="7" fillId="0" borderId="12" applyAlignment="1" pivotButton="0" quotePrefix="0" xfId="13">
      <alignment horizontal="center" vertical="center"/>
    </xf>
    <xf numFmtId="0" fontId="7" fillId="0" borderId="12" applyAlignment="1" pivotButton="0" quotePrefix="0" xfId="5">
      <alignment horizontal="center" vertical="center"/>
    </xf>
    <xf numFmtId="164" fontId="7" fillId="0" borderId="40" applyAlignment="1" pivotButton="0" quotePrefix="0" xfId="4">
      <alignment horizontal="left" vertical="center"/>
    </xf>
    <xf numFmtId="0" fontId="6" fillId="0" borderId="0" applyAlignment="1" pivotButton="0" quotePrefix="0" xfId="11">
      <alignment vertical="center"/>
    </xf>
    <xf numFmtId="0" fontId="7" fillId="0" borderId="0" applyAlignment="1" pivotButton="0" quotePrefix="0" xfId="11">
      <alignment vertical="center"/>
    </xf>
    <xf numFmtId="0" fontId="7" fillId="0" borderId="0" applyAlignment="1" pivotButton="0" quotePrefix="0" xfId="11">
      <alignment horizontal="left" vertical="center"/>
    </xf>
    <xf numFmtId="0" fontId="7" fillId="0" borderId="0" applyAlignment="1" pivotButton="0" quotePrefix="0" xfId="11">
      <alignment horizontal="center" vertical="center"/>
    </xf>
    <xf numFmtId="0" fontId="8" fillId="2" borderId="41" applyAlignment="1" pivotButton="0" quotePrefix="0" xfId="11">
      <alignment horizontal="center" vertical="center"/>
    </xf>
    <xf numFmtId="0" fontId="8" fillId="2" borderId="42" applyAlignment="1" pivotButton="0" quotePrefix="0" xfId="11">
      <alignment horizontal="center" vertical="center"/>
    </xf>
    <xf numFmtId="0" fontId="8" fillId="2" borderId="44" applyAlignment="1" pivotButton="0" quotePrefix="0" xfId="11">
      <alignment horizontal="center" vertical="center"/>
    </xf>
    <xf numFmtId="0" fontId="8" fillId="0" borderId="0" applyAlignment="1" pivotButton="0" quotePrefix="0" xfId="11">
      <alignment horizontal="center" vertical="center"/>
    </xf>
    <xf numFmtId="0" fontId="7" fillId="0" borderId="41" applyAlignment="1" pivotButton="0" quotePrefix="0" xfId="11">
      <alignment horizontal="center" vertical="center"/>
    </xf>
    <xf numFmtId="0" fontId="7" fillId="0" borderId="6" applyAlignment="1" pivotButton="0" quotePrefix="0" xfId="11">
      <alignment vertical="center"/>
    </xf>
    <xf numFmtId="0" fontId="7" fillId="0" borderId="6" applyAlignment="1" pivotButton="0" quotePrefix="0" xfId="11">
      <alignment horizontal="left" vertical="center"/>
    </xf>
    <xf numFmtId="167" fontId="7" fillId="0" borderId="7" applyAlignment="1" pivotButton="0" quotePrefix="0" xfId="12">
      <alignment horizontal="right" vertical="center"/>
    </xf>
    <xf numFmtId="0" fontId="7" fillId="0" borderId="15" applyAlignment="1" pivotButton="0" quotePrefix="0" xfId="11">
      <alignment horizontal="center" vertical="center"/>
    </xf>
    <xf numFmtId="0" fontId="7" fillId="0" borderId="9" applyAlignment="1" pivotButton="0" quotePrefix="0" xfId="11">
      <alignment vertical="center"/>
    </xf>
    <xf numFmtId="0" fontId="7" fillId="0" borderId="9" applyAlignment="1" pivotButton="0" quotePrefix="0" xfId="11">
      <alignment horizontal="left" vertical="center"/>
    </xf>
    <xf numFmtId="167" fontId="7" fillId="0" borderId="10" applyAlignment="1" pivotButton="0" quotePrefix="0" xfId="12">
      <alignment horizontal="right" vertical="center"/>
    </xf>
    <xf numFmtId="167" fontId="8" fillId="0" borderId="24" applyAlignment="1" pivotButton="0" quotePrefix="0" xfId="12">
      <alignment horizontal="right" vertical="center"/>
    </xf>
    <xf numFmtId="0" fontId="7" fillId="0" borderId="21" applyAlignment="1" pivotButton="0" quotePrefix="0" xfId="11">
      <alignment vertical="center"/>
    </xf>
    <xf numFmtId="0" fontId="7" fillId="0" borderId="21" applyAlignment="1" pivotButton="0" quotePrefix="0" xfId="11">
      <alignment horizontal="left" vertical="center"/>
    </xf>
    <xf numFmtId="167" fontId="7" fillId="0" borderId="22" applyAlignment="1" pivotButton="0" quotePrefix="0" xfId="12">
      <alignment horizontal="right" vertical="center"/>
    </xf>
    <xf numFmtId="167" fontId="8" fillId="0" borderId="14" applyAlignment="1" pivotButton="0" quotePrefix="0" xfId="12">
      <alignment horizontal="right" vertical="center"/>
    </xf>
    <xf numFmtId="0" fontId="7" fillId="0" borderId="13" applyAlignment="1" pivotButton="0" quotePrefix="0" xfId="11">
      <alignment vertical="center"/>
    </xf>
    <xf numFmtId="0" fontId="7" fillId="0" borderId="13" applyAlignment="1" pivotButton="0" quotePrefix="0" xfId="11">
      <alignment horizontal="left" vertical="center"/>
    </xf>
    <xf numFmtId="167" fontId="7" fillId="0" borderId="14" applyAlignment="1" pivotButton="0" quotePrefix="0" xfId="12">
      <alignment horizontal="right" vertical="center"/>
    </xf>
    <xf numFmtId="167" fontId="8" fillId="0" borderId="4" applyAlignment="1" pivotButton="0" quotePrefix="0" xfId="12">
      <alignment horizontal="right" vertical="center"/>
    </xf>
    <xf numFmtId="0" fontId="8" fillId="0" borderId="6" applyAlignment="1" pivotButton="0" quotePrefix="0" xfId="11">
      <alignment vertical="center"/>
    </xf>
    <xf numFmtId="0" fontId="8" fillId="0" borderId="7" applyAlignment="1" pivotButton="0" quotePrefix="0" xfId="11">
      <alignment horizontal="right" vertical="center"/>
    </xf>
    <xf numFmtId="0" fontId="8" fillId="0" borderId="28" applyAlignment="1" pivotButton="0" quotePrefix="0" xfId="11">
      <alignment horizontal="right" vertical="center"/>
    </xf>
    <xf numFmtId="167" fontId="8" fillId="0" borderId="7" applyAlignment="1" pivotButton="0" quotePrefix="0" xfId="12">
      <alignment horizontal="right" vertical="center"/>
    </xf>
    <xf numFmtId="0" fontId="8" fillId="0" borderId="23" applyAlignment="1" pivotButton="0" quotePrefix="0" xfId="11">
      <alignment vertical="center"/>
    </xf>
    <xf numFmtId="0" fontId="8" fillId="0" borderId="24" applyAlignment="1" pivotButton="0" quotePrefix="0" xfId="11">
      <alignment horizontal="right" vertical="center"/>
    </xf>
    <xf numFmtId="0" fontId="8" fillId="0" borderId="31" applyAlignment="1" pivotButton="0" quotePrefix="0" xfId="11">
      <alignment horizontal="right" vertical="center"/>
    </xf>
    <xf numFmtId="49" fontId="7" fillId="2" borderId="6" applyAlignment="1" pivotButton="0" quotePrefix="0" xfId="1">
      <alignment horizontal="center" vertical="center" wrapText="1"/>
    </xf>
    <xf numFmtId="49" fontId="7" fillId="2" borderId="7" applyAlignment="1" pivotButton="0" quotePrefix="0" xfId="1">
      <alignment horizontal="center" vertical="center" wrapText="1"/>
    </xf>
    <xf numFmtId="49" fontId="7" fillId="0" borderId="15" applyAlignment="1" pivotButton="0" quotePrefix="0" xfId="1">
      <alignment vertical="center" wrapText="1"/>
    </xf>
    <xf numFmtId="49" fontId="11" fillId="0" borderId="2" applyAlignment="1" pivotButton="0" quotePrefix="0" xfId="1">
      <alignment vertical="center" wrapText="1"/>
    </xf>
    <xf numFmtId="49" fontId="11" fillId="0" borderId="0" applyAlignment="1" pivotButton="0" quotePrefix="0" xfId="1">
      <alignment vertical="center" wrapText="1"/>
    </xf>
    <xf numFmtId="49" fontId="7" fillId="0" borderId="39" applyAlignment="1" pivotButton="0" quotePrefix="0" xfId="1">
      <alignment vertical="center"/>
    </xf>
    <xf numFmtId="0" fontId="18" fillId="0" borderId="0" applyAlignment="1" pivotButton="0" quotePrefix="0" xfId="1">
      <alignment horizontal="left" vertical="center"/>
    </xf>
    <xf numFmtId="0" fontId="18" fillId="0" borderId="0" applyAlignment="1" pivotButton="0" quotePrefix="0" xfId="1">
      <alignment horizontal="center" vertical="center"/>
    </xf>
    <xf numFmtId="0" fontId="18" fillId="0" borderId="0" applyAlignment="1" pivotButton="0" quotePrefix="0" xfId="1">
      <alignment horizontal="center" vertical="center" wrapText="1"/>
    </xf>
    <xf numFmtId="0" fontId="18" fillId="0" borderId="0" applyAlignment="1" pivotButton="0" quotePrefix="0" xfId="1">
      <alignment vertical="center"/>
    </xf>
    <xf numFmtId="0" fontId="18" fillId="2" borderId="42" applyAlignment="1" pivotButton="0" quotePrefix="0" xfId="1">
      <alignment horizontal="center" vertical="center"/>
    </xf>
    <xf numFmtId="0" fontId="18" fillId="0" borderId="13" applyAlignment="1" pivotButton="0" quotePrefix="0" xfId="1">
      <alignment horizontal="center" vertical="center"/>
    </xf>
    <xf numFmtId="0" fontId="18" fillId="0" borderId="16" applyAlignment="1" pivotButton="0" quotePrefix="0" xfId="1">
      <alignment horizontal="center" vertical="center"/>
    </xf>
    <xf numFmtId="0" fontId="18" fillId="0" borderId="34" applyAlignment="1" pivotButton="0" quotePrefix="0" xfId="1">
      <alignment horizontal="center" vertical="center"/>
    </xf>
    <xf numFmtId="0" fontId="18" fillId="2" borderId="28" applyAlignment="1" pivotButton="0" quotePrefix="0" xfId="1">
      <alignment horizontal="center" vertical="center"/>
    </xf>
    <xf numFmtId="0" fontId="18" fillId="0" borderId="33" applyAlignment="1" pivotButton="0" quotePrefix="0" xfId="1">
      <alignment horizontal="center" vertical="center"/>
    </xf>
    <xf numFmtId="0" fontId="18" fillId="2" borderId="43" applyAlignment="1" pivotButton="0" quotePrefix="0" xfId="1">
      <alignment horizontal="center" vertical="center"/>
    </xf>
    <xf numFmtId="0" fontId="18" fillId="0" borderId="45" applyAlignment="1" pivotButton="0" quotePrefix="0" xfId="1">
      <alignment horizontal="center" vertical="center"/>
    </xf>
    <xf numFmtId="0" fontId="18" fillId="0" borderId="47" applyAlignment="1" pivotButton="0" quotePrefix="0" xfId="1">
      <alignment horizontal="center" vertical="center"/>
    </xf>
    <xf numFmtId="0" fontId="18" fillId="0" borderId="48" applyAlignment="1" pivotButton="0" quotePrefix="0" xfId="1">
      <alignment horizontal="center" vertical="center"/>
    </xf>
    <xf numFmtId="49" fontId="7" fillId="0" borderId="40" applyAlignment="1" pivotButton="0" quotePrefix="0" xfId="1">
      <alignment horizontal="left" vertical="center"/>
    </xf>
    <xf numFmtId="0" fontId="18" fillId="2" borderId="44" applyAlignment="1" pivotButton="0" quotePrefix="0" xfId="1">
      <alignment horizontal="center" vertical="center"/>
    </xf>
    <xf numFmtId="0" fontId="18" fillId="0" borderId="14" applyAlignment="1" pivotButton="0" quotePrefix="0" xfId="1">
      <alignment horizontal="center" vertical="center"/>
    </xf>
    <xf numFmtId="0" fontId="18" fillId="0" borderId="17" applyAlignment="1" pivotButton="0" quotePrefix="0" xfId="1">
      <alignment horizontal="center" vertical="center"/>
    </xf>
    <xf numFmtId="0" fontId="18" fillId="0" borderId="12" applyAlignment="1" pivotButton="0" quotePrefix="0" xfId="1">
      <alignment horizontal="center" vertical="center"/>
    </xf>
    <xf numFmtId="0" fontId="18" fillId="0" borderId="40" applyAlignment="1" pivotButton="0" quotePrefix="0" xfId="1">
      <alignment horizontal="center" vertical="center"/>
    </xf>
    <xf numFmtId="0" fontId="18" fillId="0" borderId="36" applyAlignment="1" pivotButton="0" quotePrefix="0" xfId="1">
      <alignment horizontal="center" vertical="center"/>
    </xf>
    <xf numFmtId="0" fontId="20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8" fillId="2" borderId="5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8" fillId="0" borderId="14" applyAlignment="1" pivotButton="0" quotePrefix="0" xfId="0">
      <alignment horizontal="left" vertical="center"/>
    </xf>
    <xf numFmtId="0" fontId="18" fillId="0" borderId="17" applyAlignment="1" pivotButton="0" quotePrefix="0" xfId="0">
      <alignment horizontal="left" vertical="center"/>
    </xf>
    <xf numFmtId="0" fontId="18" fillId="0" borderId="40" applyAlignment="1" pivotButton="0" quotePrefix="0" xfId="0">
      <alignment horizontal="left" vertical="center"/>
    </xf>
    <xf numFmtId="0" fontId="18" fillId="0" borderId="16" applyAlignment="1" pivotButton="0" quotePrefix="0" xfId="0">
      <alignment horizontal="left" vertical="center"/>
    </xf>
    <xf numFmtId="0" fontId="18" fillId="0" borderId="12" applyAlignment="1" pivotButton="0" quotePrefix="0" xfId="0">
      <alignment horizontal="left" vertical="center"/>
    </xf>
    <xf numFmtId="0" fontId="11" fillId="0" borderId="0" applyAlignment="1" pivotButton="0" quotePrefix="0" xfId="0">
      <alignment horizontal="right" vertical="center"/>
    </xf>
    <xf numFmtId="49" fontId="11" fillId="0" borderId="52" applyAlignment="1" pivotButton="0" quotePrefix="0" xfId="1">
      <alignment vertical="center"/>
    </xf>
    <xf numFmtId="49" fontId="11" fillId="0" borderId="25" applyAlignment="1" pivotButton="0" quotePrefix="0" xfId="1">
      <alignment vertical="center"/>
    </xf>
    <xf numFmtId="49" fontId="11" fillId="0" borderId="26" applyAlignment="1" pivotButton="0" quotePrefix="0" xfId="1">
      <alignment vertical="center"/>
    </xf>
    <xf numFmtId="49" fontId="11" fillId="0" borderId="34" applyAlignment="1" pivotButton="0" quotePrefix="0" xfId="1">
      <alignment vertical="center"/>
    </xf>
    <xf numFmtId="49" fontId="11" fillId="0" borderId="36" applyAlignment="1" pivotButton="0" quotePrefix="0" xfId="1">
      <alignment vertical="center"/>
    </xf>
    <xf numFmtId="0" fontId="9" fillId="0" borderId="0" applyAlignment="1" pivotButton="0" quotePrefix="0" xfId="11">
      <alignment horizontal="right" vertical="center"/>
    </xf>
    <xf numFmtId="0" fontId="9" fillId="0" borderId="0" applyAlignment="1" pivotButton="0" quotePrefix="0" xfId="11">
      <alignment horizontal="left" vertical="center"/>
    </xf>
    <xf numFmtId="49" fontId="11" fillId="0" borderId="0" applyAlignment="1" pivotButton="0" quotePrefix="0" xfId="1">
      <alignment horizontal="left" vertical="center"/>
    </xf>
    <xf numFmtId="49" fontId="22" fillId="0" borderId="0" applyAlignment="1" pivotButton="0" quotePrefix="0" xfId="1">
      <alignment vertical="center"/>
    </xf>
    <xf numFmtId="0" fontId="25" fillId="0" borderId="15" applyAlignment="1" pivotButton="0" quotePrefix="0" xfId="2">
      <alignment vertical="center" wrapText="1"/>
    </xf>
    <xf numFmtId="0" fontId="7" fillId="5" borderId="9" applyAlignment="1" pivotButton="0" quotePrefix="0" xfId="2">
      <alignment horizontal="center" vertical="center"/>
    </xf>
    <xf numFmtId="0" fontId="7" fillId="6" borderId="9" applyAlignment="1" pivotButton="0" quotePrefix="0" xfId="2">
      <alignment horizontal="center" vertical="center"/>
    </xf>
    <xf numFmtId="0" fontId="25" fillId="0" borderId="13" applyAlignment="1" pivotButton="0" quotePrefix="0" xfId="2">
      <alignment horizontal="center" vertical="center" wrapText="1"/>
    </xf>
    <xf numFmtId="0" fontId="25" fillId="0" borderId="16" applyAlignment="1" pivotButton="0" quotePrefix="0" xfId="2">
      <alignment horizontal="center" vertical="center" wrapText="1"/>
    </xf>
    <xf numFmtId="0" fontId="25" fillId="0" borderId="12" applyAlignment="1" pivotButton="0" quotePrefix="0" xfId="2">
      <alignment horizontal="center" vertical="center" wrapText="1"/>
    </xf>
    <xf numFmtId="0" fontId="9" fillId="0" borderId="0" applyAlignment="1" pivotButton="0" quotePrefix="0" xfId="2">
      <alignment horizontal="right" vertical="center"/>
    </xf>
    <xf numFmtId="49" fontId="25" fillId="0" borderId="16" applyAlignment="1" pivotButton="0" quotePrefix="0" xfId="1">
      <alignment horizontal="left" vertical="center"/>
    </xf>
    <xf numFmtId="49" fontId="25" fillId="0" borderId="47" applyAlignment="1" pivotButton="0" quotePrefix="0" xfId="1">
      <alignment horizontal="left" vertical="center"/>
    </xf>
    <xf numFmtId="49" fontId="25" fillId="0" borderId="47" applyAlignment="1" pivotButton="0" quotePrefix="0" xfId="1">
      <alignment horizontal="center" vertical="center"/>
    </xf>
    <xf numFmtId="49" fontId="25" fillId="0" borderId="17" applyAlignment="1" pivotButton="0" quotePrefix="0" xfId="1">
      <alignment vertical="center"/>
    </xf>
    <xf numFmtId="49" fontId="7" fillId="0" borderId="0" applyAlignment="1" pivotButton="0" quotePrefix="0" xfId="1">
      <alignment horizontal="left" vertical="center"/>
    </xf>
    <xf numFmtId="171" fontId="7" fillId="0" borderId="9" applyAlignment="1" pivotButton="0" quotePrefix="0" xfId="1">
      <alignment horizontal="left" vertical="center"/>
    </xf>
    <xf numFmtId="171" fontId="7" fillId="0" borderId="23" applyAlignment="1" pivotButton="0" quotePrefix="0" xfId="1">
      <alignment horizontal="left" vertical="center"/>
    </xf>
    <xf numFmtId="171" fontId="7" fillId="0" borderId="6" applyAlignment="1" pivotButton="0" quotePrefix="0" xfId="1">
      <alignment horizontal="left" vertical="center" wrapText="1"/>
    </xf>
    <xf numFmtId="0" fontId="7" fillId="0" borderId="9" applyAlignment="1" pivotButton="0" quotePrefix="0" xfId="1">
      <alignment horizontal="left" vertical="center"/>
    </xf>
    <xf numFmtId="0" fontId="7" fillId="0" borderId="23" applyAlignment="1" pivotButton="0" quotePrefix="0" xfId="1">
      <alignment horizontal="left" vertical="center"/>
    </xf>
    <xf numFmtId="49" fontId="7" fillId="0" borderId="7" applyAlignment="1" pivotButton="0" quotePrefix="0" xfId="1">
      <alignment horizontal="left" vertical="center"/>
    </xf>
    <xf numFmtId="171" fontId="7" fillId="0" borderId="9" applyAlignment="1" pivotButton="0" quotePrefix="0" xfId="1">
      <alignment horizontal="left" vertical="center" wrapText="1"/>
    </xf>
    <xf numFmtId="49" fontId="7" fillId="0" borderId="10" applyAlignment="1" pivotButton="0" quotePrefix="0" xfId="1">
      <alignment horizontal="left" vertical="center"/>
    </xf>
    <xf numFmtId="49" fontId="7" fillId="0" borderId="24" applyAlignment="1" pivotButton="0" quotePrefix="0" xfId="1">
      <alignment horizontal="left" vertical="center"/>
    </xf>
    <xf numFmtId="0" fontId="7" fillId="0" borderId="13" applyAlignment="1" pivotButton="0" quotePrefix="0" xfId="1">
      <alignment horizontal="left" vertical="center"/>
    </xf>
    <xf numFmtId="171" fontId="7" fillId="0" borderId="13" applyAlignment="1" pivotButton="0" quotePrefix="0" xfId="1">
      <alignment horizontal="left" vertical="center"/>
    </xf>
    <xf numFmtId="171" fontId="7" fillId="0" borderId="21" applyAlignment="1" pivotButton="0" quotePrefix="0" xfId="1">
      <alignment horizontal="left" vertical="center" wrapText="1"/>
    </xf>
    <xf numFmtId="171" fontId="7" fillId="0" borderId="21" applyAlignment="1" pivotButton="0" quotePrefix="0" xfId="1">
      <alignment horizontal="left" vertical="center"/>
    </xf>
    <xf numFmtId="49" fontId="7" fillId="0" borderId="22" applyAlignment="1" pivotButton="0" quotePrefix="0" xfId="1">
      <alignment horizontal="left" vertical="center"/>
    </xf>
    <xf numFmtId="171" fontId="7" fillId="0" borderId="6" applyAlignment="1" pivotButton="0" quotePrefix="0" xfId="1">
      <alignment horizontal="left" vertical="center"/>
    </xf>
    <xf numFmtId="49" fontId="7" fillId="0" borderId="6" applyAlignment="1" pivotButton="0" quotePrefix="0" xfId="1">
      <alignment horizontal="left" vertical="center"/>
    </xf>
    <xf numFmtId="49" fontId="27" fillId="0" borderId="16" applyAlignment="1" pivotButton="0" quotePrefix="0" xfId="1">
      <alignment horizontal="center" vertical="center"/>
    </xf>
    <xf numFmtId="49" fontId="18" fillId="0" borderId="16" applyAlignment="1" pivotButton="0" quotePrefix="0" xfId="1">
      <alignment horizontal="center" vertical="center"/>
    </xf>
    <xf numFmtId="49" fontId="18" fillId="0" borderId="12" applyAlignment="1" pivotButton="0" quotePrefix="0" xfId="1">
      <alignment horizontal="center" vertical="center"/>
    </xf>
    <xf numFmtId="49" fontId="7" fillId="0" borderId="47" applyAlignment="1" pivotButton="0" quotePrefix="0" xfId="1">
      <alignment vertical="center"/>
    </xf>
    <xf numFmtId="49" fontId="7" fillId="0" borderId="48" applyAlignment="1" pivotButton="0" quotePrefix="0" xfId="1">
      <alignment vertical="center"/>
    </xf>
    <xf numFmtId="0" fontId="18" fillId="2" borderId="42" applyAlignment="1" pivotButton="0" quotePrefix="0" xfId="0">
      <alignment horizontal="center" vertical="center" wrapText="1"/>
    </xf>
    <xf numFmtId="0" fontId="18" fillId="2" borderId="44" applyAlignment="1" pivotButton="0" quotePrefix="0" xfId="0">
      <alignment horizontal="center" vertical="center" wrapText="1"/>
    </xf>
    <xf numFmtId="49" fontId="21" fillId="0" borderId="1" applyAlignment="1" pivotButton="0" quotePrefix="0" xfId="1">
      <alignment horizontal="center" vertical="center"/>
    </xf>
    <xf numFmtId="49" fontId="23" fillId="0" borderId="0" applyAlignment="1" pivotButton="0" quotePrefix="0" xfId="1">
      <alignment horizontal="center" vertical="center"/>
    </xf>
    <xf numFmtId="49" fontId="24" fillId="0" borderId="0" applyAlignment="1" pivotButton="0" quotePrefix="0" xfId="1">
      <alignment horizontal="center" vertical="center"/>
    </xf>
    <xf numFmtId="49" fontId="6" fillId="0" borderId="0" applyAlignment="1" pivotButton="0" quotePrefix="0" xfId="1">
      <alignment horizontal="center" vertical="center"/>
    </xf>
    <xf numFmtId="49" fontId="7" fillId="0" borderId="8" applyAlignment="1" pivotButton="0" quotePrefix="0" xfId="1">
      <alignment horizontal="center" vertical="center" wrapText="1"/>
    </xf>
    <xf numFmtId="49" fontId="7" fillId="0" borderId="8" applyAlignment="1" pivotButton="0" quotePrefix="0" xfId="1">
      <alignment horizontal="center" vertical="center"/>
    </xf>
    <xf numFmtId="49" fontId="7" fillId="0" borderId="19" applyAlignment="1" pivotButton="0" quotePrefix="0" xfId="1">
      <alignment horizontal="center" vertical="center"/>
    </xf>
    <xf numFmtId="49" fontId="7" fillId="0" borderId="16" applyAlignment="1" pivotButton="0" quotePrefix="0" xfId="1">
      <alignment horizontal="left" vertical="center"/>
    </xf>
    <xf numFmtId="49" fontId="7" fillId="0" borderId="12" applyAlignment="1" pivotButton="0" quotePrefix="0" xfId="1">
      <alignment horizontal="left" vertical="center"/>
    </xf>
    <xf numFmtId="49" fontId="7" fillId="0" borderId="13" applyAlignment="1" pivotButton="0" quotePrefix="0" xfId="1">
      <alignment horizontal="left" vertical="center"/>
    </xf>
    <xf numFmtId="49" fontId="7" fillId="0" borderId="2" applyAlignment="1" pivotButton="0" quotePrefix="0" xfId="1">
      <alignment horizontal="left" vertical="center"/>
    </xf>
    <xf numFmtId="49" fontId="7" fillId="0" borderId="3" applyAlignment="1" pivotButton="0" quotePrefix="0" xfId="1">
      <alignment horizontal="left" vertical="center"/>
    </xf>
    <xf numFmtId="49" fontId="7" fillId="0" borderId="4" applyAlignment="1" pivotButton="0" quotePrefix="0" xfId="1">
      <alignment horizontal="left" vertical="center"/>
    </xf>
    <xf numFmtId="49" fontId="7" fillId="2" borderId="6" applyAlignment="1" pivotButton="0" quotePrefix="0" xfId="1">
      <alignment horizontal="center" vertical="center"/>
    </xf>
    <xf numFmtId="0" fontId="8" fillId="0" borderId="36" applyAlignment="1" pivotButton="0" quotePrefix="0" xfId="11">
      <alignment horizontal="right" vertical="center"/>
    </xf>
    <xf numFmtId="0" fontId="8" fillId="0" borderId="37" applyAlignment="1" pivotButton="0" quotePrefix="0" xfId="11">
      <alignment horizontal="right" vertical="center"/>
    </xf>
    <xf numFmtId="0" fontId="8" fillId="0" borderId="49" applyAlignment="1" pivotButton="0" quotePrefix="0" xfId="11">
      <alignment horizontal="right" vertical="center"/>
    </xf>
    <xf numFmtId="0" fontId="8" fillId="0" borderId="2" applyAlignment="1" pivotButton="0" quotePrefix="0" xfId="11">
      <alignment horizontal="right" vertical="center"/>
    </xf>
    <xf numFmtId="0" fontId="8" fillId="0" borderId="3" applyAlignment="1" pivotButton="0" quotePrefix="0" xfId="11">
      <alignment horizontal="right" vertical="center"/>
    </xf>
    <xf numFmtId="0" fontId="7" fillId="0" borderId="5" applyAlignment="1" pivotButton="0" quotePrefix="0" xfId="11">
      <alignment horizontal="center" vertical="center"/>
    </xf>
    <xf numFmtId="0" fontId="7" fillId="0" borderId="19" applyAlignment="1" pivotButton="0" quotePrefix="0" xfId="11">
      <alignment horizontal="center" vertical="center"/>
    </xf>
    <xf numFmtId="0" fontId="7" fillId="0" borderId="34" applyAlignment="1" pivotButton="0" quotePrefix="0" xfId="2">
      <alignment horizontal="left" vertical="center"/>
    </xf>
    <xf numFmtId="0" fontId="7" fillId="0" borderId="0" applyAlignment="1" pivotButton="0" quotePrefix="0" xfId="2">
      <alignment horizontal="left" vertical="center"/>
    </xf>
    <xf numFmtId="0" fontId="7" fillId="0" borderId="35" applyAlignment="1" pivotButton="0" quotePrefix="0" xfId="2">
      <alignment horizontal="left" vertical="center"/>
    </xf>
    <xf numFmtId="0" fontId="7" fillId="0" borderId="36" applyAlignment="1" pivotButton="0" quotePrefix="0" xfId="2">
      <alignment horizontal="left" vertical="center"/>
    </xf>
    <xf numFmtId="0" fontId="7" fillId="0" borderId="37" applyAlignment="1" pivotButton="0" quotePrefix="0" xfId="2">
      <alignment horizontal="left" vertical="center"/>
    </xf>
    <xf numFmtId="0" fontId="7" fillId="0" borderId="38" applyAlignment="1" pivotButton="0" quotePrefix="0" xfId="2">
      <alignment horizontal="left" vertical="center"/>
    </xf>
    <xf numFmtId="0" fontId="7" fillId="2" borderId="52" applyAlignment="1" pivotButton="0" quotePrefix="0" xfId="2">
      <alignment horizontal="left" vertical="center"/>
    </xf>
    <xf numFmtId="0" fontId="7" fillId="2" borderId="25" applyAlignment="1" pivotButton="0" quotePrefix="0" xfId="2">
      <alignment horizontal="left" vertical="center"/>
    </xf>
    <xf numFmtId="0" fontId="7" fillId="2" borderId="26" applyAlignment="1" pivotButton="0" quotePrefix="0" xfId="2">
      <alignment horizontal="left" vertical="center"/>
    </xf>
    <xf numFmtId="0" fontId="7" fillId="2" borderId="44" applyAlignment="1" pivotButton="0" quotePrefix="0" xfId="2">
      <alignment horizontal="center" vertical="center"/>
    </xf>
    <xf numFmtId="0" fontId="7" fillId="2" borderId="22" applyAlignment="1" pivotButton="0" quotePrefix="0" xfId="2">
      <alignment horizontal="center" vertical="center"/>
    </xf>
    <xf numFmtId="0" fontId="7" fillId="2" borderId="5" applyAlignment="1" pivotButton="0" quotePrefix="0" xfId="2">
      <alignment horizontal="center" vertical="center" wrapText="1"/>
    </xf>
    <xf numFmtId="0" fontId="7" fillId="2" borderId="8" applyAlignment="1" pivotButton="0" quotePrefix="0" xfId="2">
      <alignment horizontal="center" vertical="center"/>
    </xf>
    <xf numFmtId="0" fontId="7" fillId="2" borderId="6" applyAlignment="1" pivotButton="0" quotePrefix="0" xfId="2">
      <alignment horizontal="center" vertical="center" wrapText="1"/>
    </xf>
    <xf numFmtId="0" fontId="7" fillId="2" borderId="9" applyAlignment="1" pivotButton="0" quotePrefix="0" xfId="2">
      <alignment horizontal="center" vertical="center"/>
    </xf>
    <xf numFmtId="0" fontId="7" fillId="5" borderId="6" applyAlignment="1" pivotButton="0" quotePrefix="0" xfId="2">
      <alignment horizontal="center" vertical="center"/>
    </xf>
    <xf numFmtId="0" fontId="7" fillId="6" borderId="6" applyAlignment="1" pivotButton="0" quotePrefix="0" xfId="2">
      <alignment horizontal="center" vertical="center"/>
    </xf>
    <xf numFmtId="49" fontId="7" fillId="2" borderId="52" applyAlignment="1" pivotButton="0" quotePrefix="0" xfId="1">
      <alignment horizontal="left" vertical="center"/>
    </xf>
    <xf numFmtId="49" fontId="7" fillId="2" borderId="25" applyAlignment="1" pivotButton="0" quotePrefix="0" xfId="1">
      <alignment horizontal="left" vertical="center"/>
    </xf>
    <xf numFmtId="49" fontId="7" fillId="2" borderId="26" applyAlignment="1" pivotButton="0" quotePrefix="0" xfId="1">
      <alignment horizontal="left" vertical="center"/>
    </xf>
    <xf numFmtId="49" fontId="7" fillId="0" borderId="34" applyAlignment="1" pivotButton="0" quotePrefix="0" xfId="1">
      <alignment horizontal="left" vertical="center"/>
    </xf>
    <xf numFmtId="49" fontId="7" fillId="0" borderId="0" applyAlignment="1" pivotButton="0" quotePrefix="0" xfId="1">
      <alignment horizontal="left" vertical="center"/>
    </xf>
    <xf numFmtId="49" fontId="7" fillId="0" borderId="35" applyAlignment="1" pivotButton="0" quotePrefix="0" xfId="1">
      <alignment horizontal="left" vertical="center"/>
    </xf>
    <xf numFmtId="49" fontId="7" fillId="0" borderId="36" applyAlignment="1" pivotButton="0" quotePrefix="0" xfId="1">
      <alignment horizontal="left" vertical="center"/>
    </xf>
    <xf numFmtId="49" fontId="7" fillId="0" borderId="37" applyAlignment="1" pivotButton="0" quotePrefix="0" xfId="1">
      <alignment horizontal="left" vertical="center"/>
    </xf>
    <xf numFmtId="49" fontId="7" fillId="0" borderId="38" applyAlignment="1" pivotButton="0" quotePrefix="0" xfId="1">
      <alignment horizontal="left" vertical="center"/>
    </xf>
    <xf numFmtId="49" fontId="26" fillId="2" borderId="52" applyAlignment="1" pivotButton="0" quotePrefix="0" xfId="1">
      <alignment horizontal="left" vertical="center"/>
    </xf>
    <xf numFmtId="49" fontId="26" fillId="2" borderId="25" applyAlignment="1" pivotButton="0" quotePrefix="0" xfId="1">
      <alignment horizontal="left" vertical="center"/>
    </xf>
    <xf numFmtId="49" fontId="26" fillId="2" borderId="26" applyAlignment="1" pivotButton="0" quotePrefix="0" xfId="1">
      <alignment horizontal="left" vertical="center"/>
    </xf>
    <xf numFmtId="49" fontId="7" fillId="0" borderId="11" applyAlignment="1" pivotButton="0" quotePrefix="0" xfId="1">
      <alignment horizontal="center" vertical="center"/>
    </xf>
    <xf numFmtId="49" fontId="7" fillId="0" borderId="5" applyAlignment="1" pivotButton="0" quotePrefix="0" xfId="1">
      <alignment horizontal="center" vertical="center"/>
    </xf>
    <xf numFmtId="49" fontId="7" fillId="0" borderId="20" applyAlignment="1" pivotButton="0" quotePrefix="0" xfId="1">
      <alignment horizontal="center" vertical="center"/>
    </xf>
    <xf numFmtId="49" fontId="25" fillId="0" borderId="34" applyAlignment="1" pivotButton="0" quotePrefix="0" xfId="1">
      <alignment horizontal="left" vertical="center"/>
    </xf>
    <xf numFmtId="49" fontId="25" fillId="0" borderId="0" applyAlignment="1" pivotButton="0" quotePrefix="0" xfId="1">
      <alignment horizontal="left" vertical="center"/>
    </xf>
    <xf numFmtId="49" fontId="25" fillId="0" borderId="35" applyAlignment="1" pivotButton="0" quotePrefix="0" xfId="1">
      <alignment horizontal="left" vertical="center"/>
    </xf>
    <xf numFmtId="49" fontId="7" fillId="0" borderId="51" applyAlignment="1" pivotButton="0" quotePrefix="0" xfId="1">
      <alignment horizontal="center" vertical="center"/>
    </xf>
    <xf numFmtId="49" fontId="7" fillId="0" borderId="34" applyAlignment="1" pivotButton="0" quotePrefix="0" xfId="1">
      <alignment horizontal="center" vertical="center"/>
    </xf>
    <xf numFmtId="49" fontId="7" fillId="0" borderId="36" applyAlignment="1" pivotButton="0" quotePrefix="0" xfId="1">
      <alignment horizontal="center" vertical="center"/>
    </xf>
    <xf numFmtId="49" fontId="7" fillId="0" borderId="36" applyAlignment="1" pivotButton="0" quotePrefix="0" xfId="1">
      <alignment vertical="center"/>
    </xf>
    <xf numFmtId="49" fontId="7" fillId="0" borderId="37" applyAlignment="1" pivotButton="0" quotePrefix="0" xfId="1">
      <alignment vertical="center"/>
    </xf>
    <xf numFmtId="49" fontId="7" fillId="0" borderId="38" applyAlignment="1" pivotButton="0" quotePrefix="0" xfId="1">
      <alignment vertical="center"/>
    </xf>
    <xf numFmtId="49" fontId="26" fillId="2" borderId="52" applyAlignment="1" pivotButton="0" quotePrefix="0" xfId="1">
      <alignment vertical="center"/>
    </xf>
    <xf numFmtId="49" fontId="26" fillId="2" borderId="25" applyAlignment="1" pivotButton="0" quotePrefix="0" xfId="1">
      <alignment vertical="center"/>
    </xf>
    <xf numFmtId="49" fontId="26" fillId="2" borderId="26" applyAlignment="1" pivotButton="0" quotePrefix="0" xfId="1">
      <alignment vertical="center"/>
    </xf>
    <xf numFmtId="49" fontId="7" fillId="0" borderId="34" applyAlignment="1" pivotButton="0" quotePrefix="0" xfId="1">
      <alignment vertical="center"/>
    </xf>
    <xf numFmtId="49" fontId="7" fillId="0" borderId="0" applyAlignment="1" pivotButton="0" quotePrefix="0" xfId="1">
      <alignment vertical="center"/>
    </xf>
    <xf numFmtId="49" fontId="7" fillId="0" borderId="35" applyAlignment="1" pivotButton="0" quotePrefix="0" xfId="1">
      <alignment vertical="center"/>
    </xf>
    <xf numFmtId="0" fontId="18" fillId="0" borderId="36" applyAlignment="1" pivotButton="0" quotePrefix="0" xfId="0">
      <alignment horizontal="left" vertical="center"/>
    </xf>
    <xf numFmtId="0" fontId="18" fillId="0" borderId="37" applyAlignment="1" pivotButton="0" quotePrefix="0" xfId="0">
      <alignment horizontal="left" vertical="center"/>
    </xf>
    <xf numFmtId="0" fontId="18" fillId="0" borderId="38" applyAlignment="1" pivotButton="0" quotePrefix="0" xfId="0">
      <alignment horizontal="left" vertical="center"/>
    </xf>
    <xf numFmtId="0" fontId="28" fillId="2" borderId="52" applyAlignment="1" pivotButton="0" quotePrefix="0" xfId="0">
      <alignment horizontal="left" vertical="center"/>
    </xf>
    <xf numFmtId="0" fontId="28" fillId="2" borderId="25" applyAlignment="1" pivotButton="0" quotePrefix="0" xfId="0">
      <alignment horizontal="left" vertical="center"/>
    </xf>
    <xf numFmtId="0" fontId="28" fillId="2" borderId="26" applyAlignment="1" pivotButton="0" quotePrefix="0" xfId="0">
      <alignment horizontal="left" vertical="center"/>
    </xf>
    <xf numFmtId="0" fontId="18" fillId="0" borderId="34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8" fillId="0" borderId="35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1" pivotButton="0" quotePrefix="0" xfId="0"/>
    <xf numFmtId="0" fontId="0" fillId="0" borderId="54" pivotButton="0" quotePrefix="0" xfId="0"/>
    <xf numFmtId="0" fontId="0" fillId="0" borderId="20" pivotButton="0" quotePrefix="0" xfId="0"/>
    <xf numFmtId="164" fontId="7" fillId="0" borderId="16" applyAlignment="1" pivotButton="0" quotePrefix="0" xfId="4">
      <alignment horizontal="center" vertical="center"/>
    </xf>
    <xf numFmtId="165" fontId="7" fillId="0" borderId="16" applyAlignment="1" pivotButton="0" quotePrefix="0" xfId="4">
      <alignment horizontal="center" vertical="center"/>
    </xf>
    <xf numFmtId="166" fontId="12" fillId="0" borderId="16" applyAlignment="1" pivotButton="0" quotePrefix="0" xfId="4">
      <alignment horizontal="center" vertical="center"/>
    </xf>
    <xf numFmtId="164" fontId="14" fillId="0" borderId="16" applyAlignment="1" pivotButton="0" quotePrefix="0" xfId="4">
      <alignment horizontal="center" vertical="center"/>
    </xf>
    <xf numFmtId="167" fontId="7" fillId="0" borderId="16" applyAlignment="1" pivotButton="0" quotePrefix="0" xfId="4">
      <alignment horizontal="center" vertical="center"/>
    </xf>
    <xf numFmtId="167" fontId="12" fillId="0" borderId="16" applyAlignment="1" pivotButton="0" quotePrefix="0" xfId="4">
      <alignment horizontal="center" vertical="center"/>
    </xf>
    <xf numFmtId="168" fontId="7" fillId="0" borderId="16" applyAlignment="1" pivotButton="0" quotePrefix="0" xfId="5">
      <alignment horizontal="center" vertical="center"/>
    </xf>
    <xf numFmtId="169" fontId="14" fillId="0" borderId="16" applyAlignment="1" pivotButton="0" quotePrefix="0" xfId="4">
      <alignment horizontal="center" vertical="center"/>
    </xf>
    <xf numFmtId="170" fontId="7" fillId="0" borderId="16" applyAlignment="1" pivotButton="0" quotePrefix="0" xfId="5">
      <alignment horizontal="center" vertical="center"/>
    </xf>
    <xf numFmtId="170" fontId="12" fillId="0" borderId="16" applyAlignment="1" pivotButton="0" quotePrefix="0" xfId="5">
      <alignment horizontal="center" vertical="center"/>
    </xf>
    <xf numFmtId="167" fontId="7" fillId="0" borderId="16" applyAlignment="1" pivotButton="0" quotePrefix="0" xfId="9">
      <alignment horizontal="center" vertical="center"/>
    </xf>
    <xf numFmtId="167" fontId="12" fillId="0" borderId="16" applyAlignment="1" pivotButton="0" quotePrefix="0" xfId="9">
      <alignment horizontal="center" vertical="center"/>
    </xf>
    <xf numFmtId="0" fontId="0" fillId="0" borderId="56" pivotButton="0" quotePrefix="0" xfId="0"/>
    <xf numFmtId="0" fontId="0" fillId="0" borderId="57" pivotButton="0" quotePrefix="0" xfId="0"/>
    <xf numFmtId="0" fontId="0" fillId="0" borderId="59" pivotButton="0" quotePrefix="0" xfId="0"/>
    <xf numFmtId="0" fontId="0" fillId="0" borderId="60" pivotButton="0" quotePrefix="0" xfId="0"/>
    <xf numFmtId="0" fontId="0" fillId="0" borderId="62" pivotButton="0" quotePrefix="0" xfId="0"/>
    <xf numFmtId="167" fontId="7" fillId="0" borderId="7" applyAlignment="1" pivotButton="0" quotePrefix="0" xfId="12">
      <alignment horizontal="right" vertical="center"/>
    </xf>
    <xf numFmtId="167" fontId="7" fillId="0" borderId="10" applyAlignment="1" pivotButton="0" quotePrefix="0" xfId="12">
      <alignment horizontal="right" vertical="center"/>
    </xf>
    <xf numFmtId="0" fontId="8" fillId="0" borderId="39" applyAlignment="1" pivotButton="0" quotePrefix="0" xfId="11">
      <alignment horizontal="right" vertical="center"/>
    </xf>
    <xf numFmtId="0" fontId="0" fillId="0" borderId="37" pivotButton="0" quotePrefix="0" xfId="0"/>
    <xf numFmtId="0" fontId="0" fillId="0" borderId="49" pivotButton="0" quotePrefix="0" xfId="0"/>
    <xf numFmtId="167" fontId="8" fillId="0" borderId="24" applyAlignment="1" pivotButton="0" quotePrefix="0" xfId="12">
      <alignment horizontal="right" vertical="center"/>
    </xf>
    <xf numFmtId="167" fontId="7" fillId="0" borderId="22" applyAlignment="1" pivotButton="0" quotePrefix="0" xfId="12">
      <alignment horizontal="right" vertical="center"/>
    </xf>
    <xf numFmtId="167" fontId="8" fillId="0" borderId="14" applyAlignment="1" pivotButton="0" quotePrefix="0" xfId="12">
      <alignment horizontal="right" vertical="center"/>
    </xf>
    <xf numFmtId="167" fontId="7" fillId="0" borderId="14" applyAlignment="1" pivotButton="0" quotePrefix="0" xfId="12">
      <alignment horizontal="right" vertical="center"/>
    </xf>
    <xf numFmtId="0" fontId="0" fillId="0" borderId="63" pivotButton="0" quotePrefix="0" xfId="0"/>
    <xf numFmtId="167" fontId="8" fillId="0" borderId="4" applyAlignment="1" pivotButton="0" quotePrefix="0" xfId="12">
      <alignment horizontal="right" vertical="center"/>
    </xf>
    <xf numFmtId="167" fontId="8" fillId="0" borderId="7" applyAlignment="1" pivotButton="0" quotePrefix="0" xfId="12">
      <alignment horizontal="right" vertical="center"/>
    </xf>
    <xf numFmtId="0" fontId="0" fillId="0" borderId="66" pivotButton="0" quotePrefix="0" xfId="0"/>
    <xf numFmtId="0" fontId="0" fillId="0" borderId="65" pivotButton="0" quotePrefix="0" xfId="0"/>
    <xf numFmtId="0" fontId="0" fillId="0" borderId="22" pivotButton="0" quotePrefix="0" xfId="0"/>
    <xf numFmtId="171" fontId="7" fillId="0" borderId="13" applyAlignment="1" pivotButton="0" quotePrefix="0" xfId="4">
      <alignment horizontal="center" vertical="center"/>
    </xf>
    <xf numFmtId="171" fontId="7" fillId="0" borderId="13" applyAlignment="1" pivotButton="0" quotePrefix="0" xfId="6">
      <alignment horizontal="center" vertical="center"/>
    </xf>
    <xf numFmtId="164" fontId="7" fillId="0" borderId="14" applyAlignment="1" pivotButton="0" quotePrefix="0" xfId="4">
      <alignment horizontal="left" vertical="center"/>
    </xf>
    <xf numFmtId="171" fontId="7" fillId="0" borderId="16" applyAlignment="1" pivotButton="0" quotePrefix="0" xfId="5">
      <alignment horizontal="center" vertical="center"/>
    </xf>
    <xf numFmtId="164" fontId="7" fillId="0" borderId="17" applyAlignment="1" pivotButton="0" quotePrefix="0" xfId="4">
      <alignment horizontal="left" vertical="center"/>
    </xf>
    <xf numFmtId="171" fontId="7" fillId="0" borderId="16" applyAlignment="1" pivotButton="0" quotePrefix="0" xfId="9">
      <alignment horizontal="center" vertical="center"/>
    </xf>
    <xf numFmtId="171" fontId="7" fillId="0" borderId="16" applyAlignment="1" pivotButton="0" quotePrefix="0" xfId="4">
      <alignment horizontal="center" vertical="center"/>
    </xf>
    <xf numFmtId="171" fontId="7" fillId="0" borderId="12" applyAlignment="1" pivotButton="0" quotePrefix="0" xfId="5">
      <alignment horizontal="center" vertical="center"/>
    </xf>
    <xf numFmtId="164" fontId="7" fillId="0" borderId="40" applyAlignment="1" pivotButton="0" quotePrefix="0" xfId="4">
      <alignment horizontal="left" vertical="center"/>
    </xf>
    <xf numFmtId="0" fontId="7" fillId="2" borderId="69" applyAlignment="1" pivotButton="0" quotePrefix="0" xfId="2">
      <alignment horizontal="left" vertical="center"/>
    </xf>
    <xf numFmtId="0" fontId="0" fillId="0" borderId="70" pivotButton="0" quotePrefix="0" xfId="0"/>
    <xf numFmtId="0" fontId="0" fillId="0" borderId="71" pivotButton="0" quotePrefix="0" xfId="0"/>
    <xf numFmtId="0" fontId="7" fillId="0" borderId="67" applyAlignment="1" pivotButton="0" quotePrefix="0" xfId="2">
      <alignment horizontal="left" vertical="center"/>
    </xf>
    <xf numFmtId="0" fontId="0" fillId="0" borderId="35" pivotButton="0" quotePrefix="0" xfId="0"/>
    <xf numFmtId="0" fontId="7" fillId="0" borderId="68" applyAlignment="1" pivotButton="0" quotePrefix="0" xfId="2">
      <alignment horizontal="left" vertical="center"/>
    </xf>
    <xf numFmtId="0" fontId="0" fillId="0" borderId="38" pivotButton="0" quotePrefix="0" xfId="0"/>
    <xf numFmtId="49" fontId="7" fillId="2" borderId="69" applyAlignment="1" pivotButton="0" quotePrefix="0" xfId="1">
      <alignment horizontal="left" vertical="center"/>
    </xf>
    <xf numFmtId="49" fontId="7" fillId="0" borderId="67" applyAlignment="1" pivotButton="0" quotePrefix="0" xfId="1">
      <alignment horizontal="left" vertical="center"/>
    </xf>
    <xf numFmtId="49" fontId="7" fillId="0" borderId="68" applyAlignment="1" pivotButton="0" quotePrefix="0" xfId="1">
      <alignment horizontal="left" vertical="center"/>
    </xf>
    <xf numFmtId="171" fontId="7" fillId="0" borderId="9" applyAlignment="1" pivotButton="0" quotePrefix="0" xfId="1">
      <alignment horizontal="left" vertical="center" wrapText="1"/>
    </xf>
    <xf numFmtId="171" fontId="7" fillId="0" borderId="9" applyAlignment="1" pivotButton="0" quotePrefix="0" xfId="1">
      <alignment horizontal="left" vertical="center"/>
    </xf>
    <xf numFmtId="171" fontId="7" fillId="0" borderId="13" applyAlignment="1" pivotButton="0" quotePrefix="0" xfId="1">
      <alignment horizontal="left" vertical="center"/>
    </xf>
    <xf numFmtId="171" fontId="7" fillId="0" borderId="6" applyAlignment="1" pivotButton="0" quotePrefix="0" xfId="1">
      <alignment horizontal="left" vertical="center" wrapText="1"/>
    </xf>
    <xf numFmtId="171" fontId="7" fillId="0" borderId="6" applyAlignment="1" pivotButton="0" quotePrefix="0" xfId="1">
      <alignment horizontal="left" vertical="center"/>
    </xf>
    <xf numFmtId="171" fontId="7" fillId="0" borderId="23" applyAlignment="1" pivotButton="0" quotePrefix="0" xfId="1">
      <alignment horizontal="left" vertical="center"/>
    </xf>
    <xf numFmtId="171" fontId="7" fillId="0" borderId="21" applyAlignment="1" pivotButton="0" quotePrefix="0" xfId="1">
      <alignment horizontal="left" vertical="center" wrapText="1"/>
    </xf>
    <xf numFmtId="171" fontId="7" fillId="0" borderId="21" applyAlignment="1" pivotButton="0" quotePrefix="0" xfId="1">
      <alignment horizontal="left" vertical="center"/>
    </xf>
    <xf numFmtId="49" fontId="26" fillId="2" borderId="69" applyAlignment="1" pivotButton="0" quotePrefix="0" xfId="1">
      <alignment horizontal="left" vertical="center"/>
    </xf>
    <xf numFmtId="49" fontId="25" fillId="0" borderId="67" applyAlignment="1" pivotButton="0" quotePrefix="0" xfId="1">
      <alignment horizontal="left" vertical="center"/>
    </xf>
    <xf numFmtId="171" fontId="7" fillId="0" borderId="18" applyAlignment="1" pivotButton="0" quotePrefix="0" xfId="1">
      <alignment horizontal="right" vertical="center"/>
    </xf>
    <xf numFmtId="171" fontId="7" fillId="0" borderId="9" applyAlignment="1" pivotButton="0" quotePrefix="0" xfId="1">
      <alignment horizontal="right" vertical="center"/>
    </xf>
    <xf numFmtId="171" fontId="7" fillId="0" borderId="10" applyAlignment="1" pivotButton="0" quotePrefix="0" xfId="1">
      <alignment horizontal="right" vertical="center"/>
    </xf>
    <xf numFmtId="171" fontId="7" fillId="3" borderId="18" applyAlignment="1" pivotButton="0" quotePrefix="0" xfId="1">
      <alignment horizontal="right" vertical="center"/>
    </xf>
    <xf numFmtId="171" fontId="7" fillId="3" borderId="9" applyAlignment="1" pivotButton="0" quotePrefix="0" xfId="1">
      <alignment horizontal="right" vertical="center"/>
    </xf>
    <xf numFmtId="171" fontId="7" fillId="3" borderId="10" applyAlignment="1" pivotButton="0" quotePrefix="0" xfId="1">
      <alignment horizontal="right" vertical="center"/>
    </xf>
    <xf numFmtId="171" fontId="7" fillId="4" borderId="18" applyAlignment="1" pivotButton="0" quotePrefix="0" xfId="1">
      <alignment horizontal="right" vertical="center"/>
    </xf>
    <xf numFmtId="171" fontId="7" fillId="4" borderId="9" applyAlignment="1" pivotButton="0" quotePrefix="0" xfId="1">
      <alignment horizontal="right" vertical="center"/>
    </xf>
    <xf numFmtId="171" fontId="7" fillId="4" borderId="10" applyAlignment="1" pivotButton="0" quotePrefix="0" xfId="1">
      <alignment horizontal="right" vertical="center"/>
    </xf>
    <xf numFmtId="171" fontId="7" fillId="0" borderId="46" applyAlignment="1" pivotButton="0" quotePrefix="0" xfId="1">
      <alignment horizontal="right" vertical="center"/>
    </xf>
    <xf numFmtId="171" fontId="7" fillId="0" borderId="13" applyAlignment="1" pivotButton="0" quotePrefix="0" xfId="1">
      <alignment horizontal="right" vertical="center"/>
    </xf>
    <xf numFmtId="171" fontId="7" fillId="0" borderId="14" applyAlignment="1" pivotButton="0" quotePrefix="0" xfId="1">
      <alignment horizontal="right" vertical="center"/>
    </xf>
    <xf numFmtId="0" fontId="0" fillId="0" borderId="34" pivotButton="0" quotePrefix="0" xfId="0"/>
    <xf numFmtId="0" fontId="0" fillId="0" borderId="36" pivotButton="0" quotePrefix="0" xfId="0"/>
    <xf numFmtId="49" fontId="26" fillId="2" borderId="69" applyAlignment="1" pivotButton="0" quotePrefix="0" xfId="1">
      <alignment vertical="center"/>
    </xf>
    <xf numFmtId="49" fontId="7" fillId="0" borderId="67" applyAlignment="1" pivotButton="0" quotePrefix="0" xfId="1">
      <alignment vertical="center"/>
    </xf>
    <xf numFmtId="49" fontId="7" fillId="0" borderId="68" applyAlignment="1" pivotButton="0" quotePrefix="0" xfId="1">
      <alignment vertical="center"/>
    </xf>
    <xf numFmtId="0" fontId="28" fillId="2" borderId="69" applyAlignment="1" pivotButton="0" quotePrefix="0" xfId="0">
      <alignment horizontal="left" vertical="center"/>
    </xf>
    <xf numFmtId="0" fontId="18" fillId="0" borderId="67" applyAlignment="1" pivotButton="0" quotePrefix="0" xfId="0">
      <alignment horizontal="left" vertical="center"/>
    </xf>
    <xf numFmtId="0" fontId="18" fillId="0" borderId="68" applyAlignment="1" pivotButton="0" quotePrefix="0" xfId="0">
      <alignment horizontal="left" vertical="center"/>
    </xf>
  </cellXfs>
  <cellStyles count="15">
    <cellStyle name="표준" xfId="0" builtinId="0"/>
    <cellStyle name="표준 2" xfId="1"/>
    <cellStyle name="표준_KPI-012생산실적성과지표" xfId="2"/>
    <cellStyle name="표준_KPI-018불량율(업체,가공,소재)" xfId="3"/>
    <cellStyle name="쉼표 [0] 2" xfId="4"/>
    <cellStyle name="쉼표 [0]_KPI-018불량율(업체,가공,소재)" xfId="5"/>
    <cellStyle name="백분율 3" xfId="6"/>
    <cellStyle name="표준_부문별-성과지표" xfId="7"/>
    <cellStyle name="백분율 2" xfId="8"/>
    <cellStyle name="쉼표 [0] 4" xfId="9"/>
    <cellStyle name="표준 10" xfId="10"/>
    <cellStyle name="표준 9" xfId="11"/>
    <cellStyle name="쉼표 [0] 3" xfId="12"/>
    <cellStyle name="백분율 4" xfId="13"/>
    <cellStyle name="표준 11" xfId="1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externalLink" Target="/xl/externalLinks/externalLink1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charts/chart1.xml><?xml version="1.0" encoding="utf-8"?>
<chartSpace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'2-6. 보존목표대비 성과(검토)'!$A$24</f>
              <strCache>
                <ptCount val="1"/>
                <pt idx="0">
                  <v xml:space="preserve">MTBF </v>
                </pt>
              </strCache>
            </strRef>
          </tx>
          <spPr>
            <a:ln xmlns:a="http://schemas.openxmlformats.org/drawingml/2006/main" w="28575" cap="rnd">
              <a:solidFill>
                <a:schemeClr val="accent6">
                  <a:shade val="76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6">
                  <a:shade val="76000"/>
                </a:schemeClr>
              </a:solidFill>
              <a:ln xmlns:a="http://schemas.openxmlformats.org/drawingml/2006/main" w="9525">
                <a:solidFill>
                  <a:schemeClr val="accent6">
                    <a:shade val="76000"/>
                  </a:schemeClr>
                </a:solidFill>
                <a:prstDash val="solid"/>
              </a:ln>
            </spPr>
          </marker>
          <cat>
            <strRef>
              <f>'2-6. 보존목표대비 성과(검토)'!$C$14:$N$14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'2-6. 보존목표대비 성과(검토)'!$C$24:$N$24</f>
              <numCache>
                <formatCode>0_);[Red]\(0\)</formatCode>
                <ptCount val="12"/>
              </numCache>
            </numRef>
          </val>
          <smooth val="0"/>
        </ser>
        <ser>
          <idx val="1"/>
          <order val="1"/>
          <tx>
            <strRef>
              <f>'2-6. 보존목표대비 성과(검토)'!$A$25</f>
              <strCache>
                <ptCount val="1"/>
                <pt idx="0">
                  <v>MTTR</v>
                </pt>
              </strCache>
            </strRef>
          </tx>
          <spPr>
            <a:ln xmlns:a="http://schemas.openxmlformats.org/drawingml/2006/main" w="28575" cap="rnd">
              <a:solidFill>
                <a:schemeClr val="accent6">
                  <a:tint val="77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6">
                  <a:tint val="77000"/>
                </a:schemeClr>
              </a:solidFill>
              <a:ln xmlns:a="http://schemas.openxmlformats.org/drawingml/2006/main" w="9525">
                <a:solidFill>
                  <a:schemeClr val="accent6">
                    <a:tint val="77000"/>
                  </a:schemeClr>
                </a:solidFill>
                <a:prstDash val="solid"/>
              </a:ln>
            </spPr>
          </marker>
          <val>
            <numRef>
              <f>'2-6. 보존목표대비 성과(검토)'!$C$25:$N$25</f>
              <numCache>
                <formatCode>0_);[Red]\(0\)</formatCode>
                <ptCount val="12"/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604208800"/>
        <axId val="598299632"/>
      </lineChart>
      <catAx>
        <axId val="60420880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나눔스퀘어" panose="020B0600000101010101" pitchFamily="50" charset="-127"/>
                <a:ea typeface="나눔스퀘어" panose="020B0600000101010101" pitchFamily="50" charset="-127"/>
                <a:cs typeface="+mn-cs"/>
              </a:defRPr>
            </a:pPr>
            <a:r>
              <a:t/>
            </a:r>
            <a:endParaRPr lang="ko-KR"/>
          </a:p>
        </txPr>
        <crossAx val="598299632"/>
        <crosses val="autoZero"/>
        <auto val="1"/>
        <lblAlgn val="ctr"/>
        <lblOffset val="100"/>
        <noMultiLvlLbl val="0"/>
      </catAx>
      <valAx>
        <axId val="59829963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_);[Red]\(0\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나눔스퀘어" panose="020B0600000101010101" pitchFamily="50" charset="-127"/>
                <a:ea typeface="나눔스퀘어" panose="020B0600000101010101" pitchFamily="50" charset="-127"/>
                <a:cs typeface="+mn-cs"/>
              </a:defRPr>
            </a:pPr>
            <a:r>
              <a:t/>
            </a:r>
            <a:endParaRPr lang="ko-KR"/>
          </a:p>
        </txPr>
        <crossAx val="604208800"/>
        <crosses val="autoZero"/>
        <crossBetween val="between"/>
      </valAx>
    </plotArea>
    <legend>
      <legendPos val="t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나눔스퀘어" panose="020B0600000101010101" pitchFamily="50" charset="-127"/>
              <a:ea typeface="나눔스퀘어" panose="020B0600000101010101" pitchFamily="50" charset="-127"/>
              <a:cs typeface="+mn-cs"/>
            </a:defRPr>
          </a:pPr>
          <a:r>
            <a:t/>
          </a:r>
          <a:endParaRPr lang="ko-KR"/>
        </a:p>
      </txPr>
    </legend>
    <plotVisOnly val="1"/>
    <dispBlanksAs val="zero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'2-6. 보존목표대비 성과(검토)'!$A$26</f>
              <strCache>
                <ptCount val="1"/>
                <pt idx="0">
                  <v>설비가동율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>
                  <a:shade val="76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>
                  <a:shade val="76000"/>
                </a:schemeClr>
              </a:solidFill>
              <a:ln xmlns:a="http://schemas.openxmlformats.org/drawingml/2006/main" w="9525">
                <a:solidFill>
                  <a:schemeClr val="accent1">
                    <a:shade val="76000"/>
                  </a:schemeClr>
                </a:solidFill>
                <a:prstDash val="solid"/>
              </a:ln>
            </spPr>
          </marker>
          <cat>
            <strRef>
              <f>'2-6. 보존목표대비 성과(검토)'!$C$14:$N$14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'2-6. 보존목표대비 성과(검토)'!$C$26:$N$26</f>
              <numCache>
                <formatCode>0_);[Red]\(0\)</formatCode>
                <ptCount val="12"/>
              </numCache>
            </numRef>
          </val>
          <smooth val="0"/>
        </ser>
        <ser>
          <idx val="1"/>
          <order val="1"/>
          <tx>
            <strRef>
              <f>'2-6. 보존목표대비 성과(검토)'!$A$27</f>
              <strCache>
                <ptCount val="1"/>
                <pt idx="0">
                  <v>설비고장율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>
                  <a:tint val="77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>
                  <a:tint val="77000"/>
                </a:schemeClr>
              </a:solidFill>
              <a:ln xmlns:a="http://schemas.openxmlformats.org/drawingml/2006/main" w="9525">
                <a:solidFill>
                  <a:schemeClr val="accent1">
                    <a:tint val="77000"/>
                  </a:schemeClr>
                </a:solidFill>
                <a:prstDash val="solid"/>
              </a:ln>
            </spPr>
          </marker>
          <val>
            <numRef>
              <f>'2-6. 보존목표대비 성과(검토)'!$C$27:$N$27</f>
              <numCache>
                <formatCode>0_);[Red]\(0\)</formatCode>
                <ptCount val="12"/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669731136"/>
        <axId val="601422048"/>
      </lineChart>
      <catAx>
        <axId val="66973113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나눔스퀘어" panose="020B0600000101010101" pitchFamily="50" charset="-127"/>
                <a:ea typeface="나눔스퀘어" panose="020B0600000101010101" pitchFamily="50" charset="-127"/>
                <a:cs typeface="+mn-cs"/>
              </a:defRPr>
            </a:pPr>
            <a:r>
              <a:t/>
            </a:r>
            <a:endParaRPr lang="ko-KR"/>
          </a:p>
        </txPr>
        <crossAx val="601422048"/>
        <crosses val="autoZero"/>
        <auto val="1"/>
        <lblAlgn val="ctr"/>
        <lblOffset val="100"/>
        <noMultiLvlLbl val="0"/>
      </catAx>
      <valAx>
        <axId val="60142204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_);[Red]\(0\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나눔스퀘어" panose="020B0600000101010101" pitchFamily="50" charset="-127"/>
                <a:ea typeface="나눔스퀘어" panose="020B0600000101010101" pitchFamily="50" charset="-127"/>
                <a:cs typeface="+mn-cs"/>
              </a:defRPr>
            </a:pPr>
            <a:r>
              <a:t/>
            </a:r>
            <a:endParaRPr lang="ko-KR"/>
          </a:p>
        </txPr>
        <crossAx val="669731136"/>
        <crosses val="autoZero"/>
        <crossBetween val="between"/>
      </valAx>
    </plotArea>
    <legend>
      <legendPos val="t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나눔스퀘어" panose="020B0600000101010101" pitchFamily="50" charset="-127"/>
              <a:ea typeface="나눔스퀘어" panose="020B0600000101010101" pitchFamily="50" charset="-127"/>
              <a:cs typeface="+mn-cs"/>
            </a:defRPr>
          </a:pPr>
          <a:r>
            <a:t/>
          </a:r>
          <a:endParaRPr lang="ko-KR"/>
        </a:p>
      </txPr>
    </legend>
    <plotVisOnly val="1"/>
    <dispBlanksAs val="zero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0</col>
      <colOff>76200</colOff>
      <row>2</row>
      <rowOff>66675</rowOff>
    </from>
    <to>
      <col>6</col>
      <colOff>219075</colOff>
      <row>12</row>
      <rowOff>85725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6</col>
      <colOff>623887</colOff>
      <row>2</row>
      <rowOff>85725</rowOff>
    </from>
    <to>
      <col>13</col>
      <colOff>528637</colOff>
      <row>12</row>
      <rowOff>95250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\\Ugda209\ds-2\DS-2\ccc\HP-1\MAST\My%20Documents\project\qa4\A&#50896;&#51088;&#51116;\&#49324;&#44553;&#51204;&#54872;\M1MASTER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1master"/>
      <sheetName val="RearHeadPaynter"/>
      <sheetName val="ClutchPaynter"/>
      <sheetName val="ML"/>
      <sheetName val="LEASE4"/>
      <sheetName val="#REF"/>
      <sheetName val="외주현황.wq1"/>
      <sheetName val="설비"/>
      <sheetName val="CAUDIT"/>
    </sheetNames>
    <sheetDataSet>
      <sheetData sheetId="0" refreshError="1">
        <row r="1">
          <cell r="A1"/>
          <cell r="E1" t="str">
            <v>BODY SHOP →</v>
          </cell>
          <cell r="F1" t="str">
            <v xml:space="preserve"> M/T NON</v>
          </cell>
          <cell r="G1">
            <v>2067</v>
          </cell>
          <cell r="I1">
            <v>20</v>
          </cell>
          <cell r="J1">
            <v>233</v>
          </cell>
          <cell r="K1">
            <v>223</v>
          </cell>
          <cell r="M1">
            <v>24</v>
          </cell>
          <cell r="N1">
            <v>11</v>
          </cell>
          <cell r="O1">
            <v>134</v>
          </cell>
          <cell r="P1">
            <v>4</v>
          </cell>
          <cell r="Q1">
            <v>165</v>
          </cell>
          <cell r="R1">
            <v>539</v>
          </cell>
          <cell r="S1">
            <v>221</v>
          </cell>
          <cell r="T1">
            <v>235</v>
          </cell>
          <cell r="X1">
            <v>2</v>
          </cell>
          <cell r="AC1">
            <v>30</v>
          </cell>
          <cell r="AD1">
            <v>6</v>
          </cell>
          <cell r="AH1" t="b">
            <v>0</v>
          </cell>
          <cell r="AI1">
            <v>53</v>
          </cell>
          <cell r="AJ1">
            <v>36</v>
          </cell>
          <cell r="AK1">
            <v>1</v>
          </cell>
          <cell r="AL1">
            <v>6</v>
          </cell>
          <cell r="AM1">
            <v>7</v>
          </cell>
          <cell r="AN1">
            <v>7</v>
          </cell>
          <cell r="AO1">
            <v>8</v>
          </cell>
          <cell r="AQ1">
            <v>24</v>
          </cell>
          <cell r="AR1">
            <v>12</v>
          </cell>
          <cell r="AS1">
            <v>29</v>
          </cell>
          <cell r="AU1">
            <v>3</v>
          </cell>
          <cell r="AW1">
            <v>2</v>
          </cell>
          <cell r="AY1">
            <v>32</v>
          </cell>
          <cell r="BA1" t="b">
            <v>1</v>
          </cell>
          <cell r="BC1" t="b">
            <v>1</v>
          </cell>
          <cell r="BE1" t="b">
            <v>1</v>
          </cell>
          <cell r="BM1"/>
          <cell r="BN1"/>
          <cell r="CJ1"/>
          <cell r="CK1"/>
          <cell r="CM1"/>
          <cell r="CO1"/>
          <cell r="EL1"/>
          <cell r="EM1"/>
          <cell r="EO1"/>
          <cell r="EQ1"/>
          <cell r="EU1"/>
          <cell r="EX1"/>
          <cell r="EZ1" t="b">
            <v>1</v>
          </cell>
          <cell r="FB1"/>
          <cell r="GB1" t="b">
            <v>1</v>
          </cell>
          <cell r="GD1" t="b">
            <v>1</v>
          </cell>
          <cell r="GF1" t="b">
            <v>1</v>
          </cell>
          <cell r="GH1" t="b">
            <v>1</v>
          </cell>
          <cell r="GP1"/>
          <cell r="GU1"/>
          <cell r="GV1"/>
        </row>
        <row r="2">
          <cell r="E2">
            <v>2584</v>
          </cell>
          <cell r="F2" t="str">
            <v xml:space="preserve"> M/T ABS</v>
          </cell>
          <cell r="G2">
            <v>140</v>
          </cell>
          <cell r="K2">
            <v>1</v>
          </cell>
          <cell r="M2"/>
          <cell r="N2"/>
          <cell r="O2">
            <v>12</v>
          </cell>
          <cell r="P2">
            <v>4</v>
          </cell>
          <cell r="Q2">
            <v>123</v>
          </cell>
          <cell r="T2"/>
          <cell r="U2"/>
          <cell r="W2"/>
          <cell r="Y2"/>
          <cell r="AB2"/>
          <cell r="AE2"/>
          <cell r="AG2"/>
          <cell r="BA2" t="str">
            <v xml:space="preserve"> T:TRIM</v>
          </cell>
        </row>
        <row r="3">
          <cell r="F3" t="str">
            <v xml:space="preserve">  A/T NON</v>
          </cell>
          <cell r="G3">
            <v>254</v>
          </cell>
          <cell r="K3">
            <v>27</v>
          </cell>
          <cell r="M3">
            <v>9</v>
          </cell>
          <cell r="N3">
            <v>5</v>
          </cell>
          <cell r="O3">
            <v>57</v>
          </cell>
          <cell r="P3">
            <v>7</v>
          </cell>
          <cell r="Q3">
            <v>91</v>
          </cell>
          <cell r="T3">
            <v>23</v>
          </cell>
          <cell r="X3">
            <v>4</v>
          </cell>
          <cell r="AD3">
            <v>4</v>
          </cell>
          <cell r="AI3">
            <v>13</v>
          </cell>
          <cell r="AO3">
            <v>4</v>
          </cell>
          <cell r="AS3">
            <v>5</v>
          </cell>
          <cell r="AW3">
            <v>5</v>
          </cell>
          <cell r="BA3" t="str">
            <v xml:space="preserve"> B:BODY</v>
          </cell>
        </row>
        <row r="4">
          <cell r="F4" t="str">
            <v xml:space="preserve">  A/T ABS</v>
          </cell>
          <cell r="G4">
            <v>123</v>
          </cell>
          <cell r="K4">
            <v>15</v>
          </cell>
          <cell r="N4">
            <v>3</v>
          </cell>
          <cell r="O4">
            <v>8</v>
          </cell>
          <cell r="P4">
            <v>7</v>
          </cell>
          <cell r="Q4">
            <v>90</v>
          </cell>
          <cell r="S4"/>
          <cell r="AA4"/>
          <cell r="AC4"/>
          <cell r="AE4" t="b">
            <v>1</v>
          </cell>
          <cell r="AG4"/>
          <cell r="AH4"/>
          <cell r="AL4" t="b">
            <v>1</v>
          </cell>
          <cell r="AN4"/>
          <cell r="AO4"/>
          <cell r="AZ4"/>
          <cell r="BA4" t="str">
            <v xml:space="preserve"> A:A/S</v>
          </cell>
          <cell r="BV4" t="b">
            <v>1</v>
          </cell>
          <cell r="BX4" t="b">
            <v>1</v>
          </cell>
          <cell r="BZ4" t="b">
            <v>1</v>
          </cell>
          <cell r="CB4"/>
          <cell r="CD4"/>
          <cell r="CE4" t="e">
            <v>#NULL!</v>
          </cell>
          <cell r="EX4"/>
          <cell r="EZ4"/>
          <cell r="FB4"/>
          <cell r="FD4"/>
          <cell r="FF4"/>
          <cell r="FH4"/>
          <cell r="FJ4"/>
          <cell r="FL4"/>
          <cell r="FV4"/>
          <cell r="FX4"/>
          <cell r="GI4"/>
          <cell r="GJ4"/>
          <cell r="GP4"/>
          <cell r="GQ4"/>
          <cell r="GS4"/>
          <cell r="GU4"/>
          <cell r="GX4"/>
          <cell r="HA4"/>
          <cell r="HC4"/>
          <cell r="HE4"/>
          <cell r="HG4"/>
          <cell r="HH4"/>
          <cell r="HJ4"/>
          <cell r="HK4"/>
          <cell r="HP4"/>
          <cell r="HR4"/>
        </row>
        <row r="5">
          <cell r="F5" t="str">
            <v xml:space="preserve"> TOTAL</v>
          </cell>
          <cell r="G5">
            <v>2584</v>
          </cell>
          <cell r="H5">
            <v>0</v>
          </cell>
          <cell r="I5">
            <v>20</v>
          </cell>
          <cell r="J5">
            <v>233</v>
          </cell>
          <cell r="K5">
            <v>266</v>
          </cell>
          <cell r="L5">
            <v>0</v>
          </cell>
          <cell r="M5">
            <v>33</v>
          </cell>
          <cell r="N5">
            <v>19</v>
          </cell>
          <cell r="O5">
            <v>211</v>
          </cell>
          <cell r="P5">
            <v>22</v>
          </cell>
          <cell r="Q5">
            <v>469</v>
          </cell>
          <cell r="R5">
            <v>539</v>
          </cell>
          <cell r="S5">
            <v>221</v>
          </cell>
          <cell r="T5">
            <v>258</v>
          </cell>
          <cell r="U5">
            <v>0</v>
          </cell>
          <cell r="V5">
            <v>0</v>
          </cell>
          <cell r="W5">
            <v>0</v>
          </cell>
          <cell r="X5">
            <v>6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30</v>
          </cell>
          <cell r="AD5">
            <v>10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66</v>
          </cell>
          <cell r="AJ5">
            <v>36</v>
          </cell>
          <cell r="AK5">
            <v>1</v>
          </cell>
          <cell r="AL5">
            <v>6</v>
          </cell>
          <cell r="AM5">
            <v>7</v>
          </cell>
          <cell r="AN5">
            <v>7</v>
          </cell>
          <cell r="AO5">
            <v>12</v>
          </cell>
          <cell r="AP5">
            <v>0</v>
          </cell>
          <cell r="AQ5">
            <v>24</v>
          </cell>
          <cell r="AR5">
            <v>12</v>
          </cell>
          <cell r="AS5">
            <v>34</v>
          </cell>
          <cell r="AT5">
            <v>0</v>
          </cell>
          <cell r="AU5">
            <v>3</v>
          </cell>
          <cell r="AV5">
            <v>0</v>
          </cell>
          <cell r="AW5">
            <v>7</v>
          </cell>
          <cell r="AX5">
            <v>0</v>
          </cell>
          <cell r="AY5">
            <v>32</v>
          </cell>
        </row>
        <row r="6">
          <cell r="I6"/>
          <cell r="K6"/>
          <cell r="L6"/>
          <cell r="R6"/>
          <cell r="S6"/>
          <cell r="U6"/>
          <cell r="W6"/>
          <cell r="Z6"/>
          <cell r="AC6"/>
          <cell r="AE6"/>
          <cell r="AG6"/>
          <cell r="AZ6" t="b">
            <v>1</v>
          </cell>
          <cell r="BB6"/>
          <cell r="BD6" t="b">
            <v>1</v>
          </cell>
        </row>
        <row r="8">
          <cell r="A8" t="str">
            <v>차</v>
          </cell>
          <cell r="B8" t="str">
            <v>전</v>
          </cell>
          <cell r="C8" t="str">
            <v>불</v>
          </cell>
          <cell r="H8" t="str">
            <v>01</v>
          </cell>
          <cell r="I8" t="str">
            <v>02</v>
          </cell>
          <cell r="J8" t="str">
            <v>03</v>
          </cell>
          <cell r="K8" t="str">
            <v>04</v>
          </cell>
          <cell r="L8" t="str">
            <v>07</v>
          </cell>
          <cell r="M8" t="str">
            <v>11</v>
          </cell>
          <cell r="N8" t="str">
            <v>15</v>
          </cell>
          <cell r="O8" t="str">
            <v>16</v>
          </cell>
          <cell r="P8" t="str">
            <v>17</v>
          </cell>
          <cell r="Q8" t="str">
            <v>18</v>
          </cell>
          <cell r="R8" t="str">
            <v>19</v>
          </cell>
          <cell r="S8" t="str">
            <v>20</v>
          </cell>
          <cell r="T8" t="str">
            <v>21</v>
          </cell>
          <cell r="U8" t="str">
            <v>22</v>
          </cell>
          <cell r="V8" t="str">
            <v>23</v>
          </cell>
          <cell r="W8" t="str">
            <v>24</v>
          </cell>
          <cell r="X8" t="str">
            <v>25</v>
          </cell>
          <cell r="Y8" t="str">
            <v>26</v>
          </cell>
          <cell r="Z8" t="str">
            <v>27</v>
          </cell>
          <cell r="AA8" t="str">
            <v>28</v>
          </cell>
          <cell r="AB8" t="str">
            <v>29</v>
          </cell>
          <cell r="AC8">
            <v>30</v>
          </cell>
          <cell r="AD8">
            <v>31</v>
          </cell>
          <cell r="AE8">
            <v>67</v>
          </cell>
          <cell r="AF8">
            <v>68</v>
          </cell>
          <cell r="AG8">
            <v>69</v>
          </cell>
          <cell r="AH8">
            <v>73</v>
          </cell>
          <cell r="AI8">
            <v>76</v>
          </cell>
          <cell r="AJ8">
            <v>77</v>
          </cell>
          <cell r="AK8">
            <v>78</v>
          </cell>
          <cell r="AL8">
            <v>79</v>
          </cell>
          <cell r="AM8">
            <v>80</v>
          </cell>
          <cell r="AN8">
            <v>81</v>
          </cell>
          <cell r="AO8">
            <v>82</v>
          </cell>
          <cell r="AP8">
            <v>83</v>
          </cell>
          <cell r="AQ8">
            <v>84</v>
          </cell>
          <cell r="AR8">
            <v>85</v>
          </cell>
          <cell r="AS8">
            <v>86</v>
          </cell>
          <cell r="AT8">
            <v>87</v>
          </cell>
          <cell r="AU8">
            <v>88</v>
          </cell>
          <cell r="AV8">
            <v>89</v>
          </cell>
          <cell r="AW8">
            <v>90</v>
          </cell>
          <cell r="AX8">
            <v>91</v>
          </cell>
          <cell r="AY8">
            <v>92</v>
          </cell>
        </row>
        <row r="9">
          <cell r="A9" t="str">
            <v>이</v>
          </cell>
          <cell r="B9" t="str">
            <v>산</v>
          </cell>
          <cell r="C9" t="str">
            <v>출</v>
          </cell>
          <cell r="D9" t="str">
            <v>PART-</v>
          </cell>
          <cell r="E9" t="str">
            <v xml:space="preserve">  PART-</v>
          </cell>
          <cell r="H9" t="str">
            <v>STD</v>
          </cell>
          <cell r="I9" t="str">
            <v>STD</v>
          </cell>
          <cell r="J9" t="str">
            <v>EXD</v>
          </cell>
          <cell r="K9" t="str">
            <v>EXD</v>
          </cell>
          <cell r="L9" t="str">
            <v>EXD</v>
          </cell>
          <cell r="M9" t="str">
            <v>EXD</v>
          </cell>
          <cell r="N9" t="str">
            <v>EXD</v>
          </cell>
          <cell r="O9" t="str">
            <v>EXD</v>
          </cell>
          <cell r="P9" t="str">
            <v>EXD</v>
          </cell>
          <cell r="Q9" t="str">
            <v>EXD</v>
          </cell>
          <cell r="R9" t="str">
            <v>VAN</v>
          </cell>
          <cell r="S9" t="str">
            <v>EXD</v>
          </cell>
          <cell r="T9" t="str">
            <v>EXD</v>
          </cell>
          <cell r="U9" t="str">
            <v>XL</v>
          </cell>
          <cell r="V9" t="str">
            <v>XL</v>
          </cell>
          <cell r="W9" t="str">
            <v>GOLD</v>
          </cell>
          <cell r="X9" t="str">
            <v>GOLD</v>
          </cell>
          <cell r="Y9" t="str">
            <v>XL</v>
          </cell>
          <cell r="Z9" t="str">
            <v>EXD</v>
          </cell>
          <cell r="AA9" t="str">
            <v>XL</v>
          </cell>
          <cell r="AB9" t="str">
            <v>XL</v>
          </cell>
          <cell r="AC9" t="str">
            <v>STD</v>
          </cell>
          <cell r="AD9" t="str">
            <v>EXD</v>
          </cell>
          <cell r="AE9" t="str">
            <v>EXD</v>
          </cell>
          <cell r="AF9" t="str">
            <v>STD</v>
          </cell>
          <cell r="AG9" t="str">
            <v>STD</v>
          </cell>
          <cell r="AH9" t="str">
            <v>GOLD</v>
          </cell>
          <cell r="AI9" t="str">
            <v>EXD</v>
          </cell>
          <cell r="AJ9" t="str">
            <v>XL</v>
          </cell>
          <cell r="AK9" t="str">
            <v>XL</v>
          </cell>
          <cell r="AL9" t="str">
            <v>XL</v>
          </cell>
          <cell r="AM9" t="str">
            <v>XL</v>
          </cell>
          <cell r="AN9" t="str">
            <v>XL</v>
          </cell>
          <cell r="AO9" t="str">
            <v>EXD</v>
          </cell>
          <cell r="AP9" t="str">
            <v>GOLD</v>
          </cell>
          <cell r="AQ9" t="str">
            <v>XL</v>
          </cell>
          <cell r="AR9" t="str">
            <v>XL</v>
          </cell>
          <cell r="AS9" t="str">
            <v>EXD</v>
          </cell>
          <cell r="AT9" t="str">
            <v>GOLD</v>
          </cell>
          <cell r="AU9" t="str">
            <v>XL</v>
          </cell>
          <cell r="AV9" t="str">
            <v>XL</v>
          </cell>
          <cell r="AW9" t="str">
            <v>EXD</v>
          </cell>
          <cell r="AX9" t="str">
            <v>XL</v>
          </cell>
          <cell r="AY9" t="str">
            <v>XL</v>
          </cell>
        </row>
        <row r="10">
          <cell r="D10" t="str">
            <v xml:space="preserve">     NO</v>
          </cell>
          <cell r="E10" t="str">
            <v xml:space="preserve"> NAME</v>
          </cell>
          <cell r="F10" t="str">
            <v>OPT</v>
          </cell>
          <cell r="G10" t="str">
            <v>ALL</v>
          </cell>
          <cell r="H10" t="str">
            <v>SWB</v>
          </cell>
          <cell r="I10" t="str">
            <v>LWB</v>
          </cell>
          <cell r="J10" t="str">
            <v>LWB</v>
          </cell>
          <cell r="K10" t="str">
            <v>LWB</v>
          </cell>
          <cell r="L10" t="str">
            <v>SWB</v>
          </cell>
          <cell r="M10" t="str">
            <v>SWB</v>
          </cell>
          <cell r="N10" t="str">
            <v>SWB</v>
          </cell>
          <cell r="O10" t="str">
            <v>LWB</v>
          </cell>
          <cell r="P10" t="str">
            <v>SWB</v>
          </cell>
          <cell r="Q10" t="str">
            <v>LWB</v>
          </cell>
          <cell r="R10" t="str">
            <v>VAN</v>
          </cell>
          <cell r="S10" t="str">
            <v>H/R</v>
          </cell>
          <cell r="T10" t="str">
            <v>H/R</v>
          </cell>
          <cell r="U10" t="str">
            <v>SWB</v>
          </cell>
          <cell r="V10" t="str">
            <v>LWB</v>
          </cell>
          <cell r="W10" t="str">
            <v>SWB</v>
          </cell>
          <cell r="X10" t="str">
            <v>LWB</v>
          </cell>
          <cell r="Y10" t="str">
            <v>H/R</v>
          </cell>
          <cell r="Z10" t="str">
            <v>H/R</v>
          </cell>
          <cell r="AA10" t="str">
            <v>H/R</v>
          </cell>
          <cell r="AB10" t="str">
            <v>VAN</v>
          </cell>
          <cell r="AC10" t="str">
            <v>SWB</v>
          </cell>
          <cell r="AD10" t="str">
            <v>SWB</v>
          </cell>
          <cell r="AE10" t="str">
            <v>LWB</v>
          </cell>
          <cell r="AF10" t="str">
            <v>SWB</v>
          </cell>
          <cell r="AG10" t="str">
            <v>LWB</v>
          </cell>
          <cell r="AH10" t="str">
            <v>SWB</v>
          </cell>
          <cell r="AI10" t="str">
            <v>LWB</v>
          </cell>
          <cell r="AJ10" t="str">
            <v>LWB</v>
          </cell>
          <cell r="AK10" t="str">
            <v>LWB</v>
          </cell>
          <cell r="AL10" t="str">
            <v>SWB</v>
          </cell>
          <cell r="AM10" t="str">
            <v>SWB</v>
          </cell>
          <cell r="AN10" t="str">
            <v>SWB</v>
          </cell>
          <cell r="AO10" t="str">
            <v>SWB</v>
          </cell>
          <cell r="AP10" t="str">
            <v>SWB</v>
          </cell>
          <cell r="AQ10" t="str">
            <v>LWB</v>
          </cell>
          <cell r="AR10" t="str">
            <v>LWB</v>
          </cell>
          <cell r="AS10" t="str">
            <v>LWB</v>
          </cell>
          <cell r="AT10" t="str">
            <v>LWB</v>
          </cell>
          <cell r="AU10" t="str">
            <v>H/R</v>
          </cell>
          <cell r="AV10" t="str">
            <v>H/R</v>
          </cell>
          <cell r="AW10" t="str">
            <v>SWB</v>
          </cell>
          <cell r="AX10" t="str">
            <v>H/R</v>
          </cell>
          <cell r="AY10" t="str">
            <v>H/R</v>
          </cell>
          <cell r="AZ10" t="str">
            <v>SHOP</v>
          </cell>
          <cell r="BA10" t="str">
            <v>업 체</v>
          </cell>
          <cell r="BB10" t="str">
            <v>GL NO</v>
          </cell>
        </row>
        <row r="11">
          <cell r="C11">
            <v>1892</v>
          </cell>
          <cell r="D11" t="str">
            <v>HC000054</v>
          </cell>
          <cell r="E11" t="str">
            <v xml:space="preserve"> PANEL,RR END INR LWR ASSY LH</v>
          </cell>
          <cell r="I11">
            <v>1</v>
          </cell>
          <cell r="J11">
            <v>1</v>
          </cell>
          <cell r="K11">
            <v>1</v>
          </cell>
          <cell r="O11">
            <v>1</v>
          </cell>
          <cell r="Q11">
            <v>1</v>
          </cell>
          <cell r="S11">
            <v>1</v>
          </cell>
          <cell r="T11">
            <v>1</v>
          </cell>
          <cell r="V11">
            <v>1</v>
          </cell>
          <cell r="X11">
            <v>1</v>
          </cell>
          <cell r="Y11">
            <v>1</v>
          </cell>
          <cell r="Z11">
            <v>1</v>
          </cell>
          <cell r="AA11">
            <v>1</v>
          </cell>
          <cell r="AE11">
            <v>1</v>
          </cell>
          <cell r="AG11">
            <v>1</v>
          </cell>
          <cell r="AI11">
            <v>1</v>
          </cell>
          <cell r="AJ11">
            <v>1</v>
          </cell>
          <cell r="AK11">
            <v>1</v>
          </cell>
          <cell r="AQ11">
            <v>1</v>
          </cell>
          <cell r="AR11">
            <v>1</v>
          </cell>
          <cell r="AS11">
            <v>1</v>
          </cell>
          <cell r="AT11">
            <v>1</v>
          </cell>
          <cell r="AU11">
            <v>1</v>
          </cell>
          <cell r="AV11">
            <v>1</v>
          </cell>
          <cell r="AX11">
            <v>1</v>
          </cell>
          <cell r="AY11">
            <v>1</v>
          </cell>
          <cell r="AZ11" t="str">
            <v>B</v>
          </cell>
          <cell r="BA11" t="str">
            <v>세명금속</v>
          </cell>
          <cell r="BB11" t="str">
            <v>H50A17K</v>
          </cell>
          <cell r="BD11" t="str">
            <v>F716</v>
          </cell>
          <cell r="BI11">
            <v>888</v>
          </cell>
          <cell r="BJ11">
            <v>458</v>
          </cell>
          <cell r="BK11">
            <v>90</v>
          </cell>
          <cell r="BL11">
            <v>100</v>
          </cell>
          <cell r="BM11"/>
          <cell r="BN11"/>
          <cell r="BO11">
            <v>0</v>
          </cell>
          <cell r="BP11"/>
          <cell r="BQ11"/>
          <cell r="BR11"/>
          <cell r="BS11"/>
          <cell r="BT11"/>
          <cell r="BU11"/>
          <cell r="BV11"/>
          <cell r="BW11"/>
          <cell r="BX11"/>
          <cell r="BY11"/>
          <cell r="BZ11"/>
          <cell r="CA11"/>
          <cell r="CB11"/>
          <cell r="CC11"/>
          <cell r="CD11"/>
          <cell r="CE11"/>
          <cell r="CF11"/>
          <cell r="CG11"/>
          <cell r="CH11"/>
          <cell r="CI11"/>
          <cell r="CJ11"/>
          <cell r="CK11"/>
          <cell r="CL11"/>
          <cell r="CM11"/>
          <cell r="CN11"/>
          <cell r="CO11"/>
          <cell r="CP11"/>
          <cell r="CQ11"/>
        </row>
        <row r="12">
          <cell r="C12">
            <v>1892</v>
          </cell>
          <cell r="D12" t="str">
            <v>HC000055</v>
          </cell>
          <cell r="E12" t="str">
            <v xml:space="preserve"> PANEL,RR END INR LWR ASSY RH</v>
          </cell>
          <cell r="I12">
            <v>1</v>
          </cell>
          <cell r="J12">
            <v>1</v>
          </cell>
          <cell r="K12">
            <v>1</v>
          </cell>
          <cell r="O12">
            <v>1</v>
          </cell>
          <cell r="Q12">
            <v>1</v>
          </cell>
          <cell r="S12">
            <v>1</v>
          </cell>
          <cell r="T12">
            <v>1</v>
          </cell>
          <cell r="V12">
            <v>1</v>
          </cell>
          <cell r="X12">
            <v>1</v>
          </cell>
          <cell r="Y12">
            <v>1</v>
          </cell>
          <cell r="Z12">
            <v>1</v>
          </cell>
          <cell r="AA12">
            <v>1</v>
          </cell>
          <cell r="AE12">
            <v>1</v>
          </cell>
          <cell r="AG12">
            <v>1</v>
          </cell>
          <cell r="AI12">
            <v>1</v>
          </cell>
          <cell r="AJ12">
            <v>1</v>
          </cell>
          <cell r="AK12">
            <v>1</v>
          </cell>
          <cell r="AQ12">
            <v>1</v>
          </cell>
          <cell r="AR12">
            <v>1</v>
          </cell>
          <cell r="AS12">
            <v>1</v>
          </cell>
          <cell r="AT12">
            <v>1</v>
          </cell>
          <cell r="AU12">
            <v>1</v>
          </cell>
          <cell r="AV12">
            <v>1</v>
          </cell>
          <cell r="AX12">
            <v>1</v>
          </cell>
          <cell r="AY12">
            <v>1</v>
          </cell>
          <cell r="AZ12" t="str">
            <v>B</v>
          </cell>
          <cell r="BA12" t="str">
            <v>세명금속</v>
          </cell>
          <cell r="BB12" t="str">
            <v>H50A17K</v>
          </cell>
          <cell r="BD12" t="str">
            <v>F716</v>
          </cell>
          <cell r="BI12">
            <v>888</v>
          </cell>
          <cell r="BJ12">
            <v>458</v>
          </cell>
          <cell r="BK12">
            <v>90</v>
          </cell>
          <cell r="BL12">
            <v>100</v>
          </cell>
          <cell r="BM12"/>
          <cell r="BN12"/>
          <cell r="BO12">
            <v>0</v>
          </cell>
          <cell r="BP12"/>
          <cell r="BQ12"/>
          <cell r="BR12"/>
          <cell r="BS12"/>
          <cell r="BT12"/>
          <cell r="BU12"/>
          <cell r="BV12"/>
          <cell r="BW12"/>
          <cell r="BX12"/>
          <cell r="BY12"/>
          <cell r="BZ12"/>
          <cell r="CA12"/>
          <cell r="CB12"/>
          <cell r="CC12"/>
          <cell r="CD12"/>
          <cell r="CE12"/>
          <cell r="CF12"/>
          <cell r="CG12"/>
          <cell r="CH12"/>
          <cell r="CI12"/>
          <cell r="CJ12"/>
          <cell r="CK12"/>
          <cell r="CL12"/>
          <cell r="CM12"/>
          <cell r="CN12"/>
          <cell r="CO12"/>
          <cell r="CP12"/>
          <cell r="CQ12"/>
        </row>
        <row r="13">
          <cell r="C13">
            <v>692</v>
          </cell>
          <cell r="D13" t="str">
            <v>HC000161</v>
          </cell>
          <cell r="E13" t="str">
            <v xml:space="preserve"> PNL ASSY-RR END INR LWR LH</v>
          </cell>
          <cell r="H13">
            <v>1</v>
          </cell>
          <cell r="L13">
            <v>1</v>
          </cell>
          <cell r="M13">
            <v>1</v>
          </cell>
          <cell r="N13">
            <v>1</v>
          </cell>
          <cell r="P13">
            <v>1</v>
          </cell>
          <cell r="R13">
            <v>1</v>
          </cell>
          <cell r="U13">
            <v>1</v>
          </cell>
          <cell r="W13">
            <v>1</v>
          </cell>
          <cell r="AB13">
            <v>1</v>
          </cell>
          <cell r="AC13">
            <v>1</v>
          </cell>
          <cell r="AD13">
            <v>1</v>
          </cell>
          <cell r="AF13">
            <v>1</v>
          </cell>
          <cell r="AG13"/>
          <cell r="AH13">
            <v>1</v>
          </cell>
          <cell r="AI13"/>
          <cell r="AJ13"/>
          <cell r="AK13"/>
          <cell r="AL13">
            <v>1</v>
          </cell>
          <cell r="AM13">
            <v>1</v>
          </cell>
          <cell r="AN13">
            <v>1</v>
          </cell>
          <cell r="AO13">
            <v>1</v>
          </cell>
          <cell r="AP13">
            <v>1</v>
          </cell>
          <cell r="AQ13"/>
          <cell r="AR13"/>
          <cell r="AS13"/>
          <cell r="AT13"/>
          <cell r="AU13"/>
          <cell r="AV13"/>
          <cell r="AW13">
            <v>1</v>
          </cell>
          <cell r="AX13"/>
          <cell r="AY13"/>
          <cell r="AZ13" t="str">
            <v>B</v>
          </cell>
          <cell r="BA13" t="str">
            <v>세명금속</v>
          </cell>
          <cell r="BB13" t="str">
            <v>H50A17K</v>
          </cell>
          <cell r="BC13" t="str">
            <v>MB250901A-</v>
          </cell>
          <cell r="BD13" t="str">
            <v>F716</v>
          </cell>
          <cell r="BE13" t="str">
            <v>S/B</v>
          </cell>
          <cell r="BF13"/>
          <cell r="BG13"/>
          <cell r="BH13"/>
          <cell r="BI13">
            <v>49</v>
          </cell>
          <cell r="BJ13">
            <v>539</v>
          </cell>
          <cell r="BK13">
            <v>28</v>
          </cell>
          <cell r="BL13">
            <v>2</v>
          </cell>
          <cell r="BM13"/>
          <cell r="BN13"/>
          <cell r="BO13">
            <v>0</v>
          </cell>
          <cell r="BP13"/>
          <cell r="BQ13"/>
          <cell r="BR13"/>
          <cell r="BS13"/>
          <cell r="BT13"/>
          <cell r="BU13"/>
          <cell r="BV13"/>
          <cell r="BW13"/>
          <cell r="BX13"/>
          <cell r="BY13"/>
          <cell r="BZ13"/>
          <cell r="CA13"/>
          <cell r="CB13"/>
          <cell r="CC13"/>
          <cell r="CD13"/>
          <cell r="CE13"/>
          <cell r="CF13"/>
          <cell r="CG13"/>
          <cell r="CH13"/>
          <cell r="CI13"/>
          <cell r="CJ13"/>
          <cell r="CK13"/>
          <cell r="CL13"/>
          <cell r="CM13"/>
          <cell r="CN13"/>
          <cell r="CO13"/>
          <cell r="CP13"/>
        </row>
        <row r="14">
          <cell r="C14">
            <v>692</v>
          </cell>
          <cell r="D14" t="str">
            <v>HC000162</v>
          </cell>
          <cell r="E14" t="str">
            <v xml:space="preserve"> PNL ASSY-RR END INR LWR RH</v>
          </cell>
          <cell r="H14">
            <v>1</v>
          </cell>
          <cell r="L14">
            <v>1</v>
          </cell>
          <cell r="M14">
            <v>1</v>
          </cell>
          <cell r="N14">
            <v>1</v>
          </cell>
          <cell r="P14">
            <v>1</v>
          </cell>
          <cell r="R14">
            <v>1</v>
          </cell>
          <cell r="U14">
            <v>1</v>
          </cell>
          <cell r="W14">
            <v>1</v>
          </cell>
          <cell r="AB14">
            <v>1</v>
          </cell>
          <cell r="AC14">
            <v>1</v>
          </cell>
          <cell r="AD14">
            <v>1</v>
          </cell>
          <cell r="AF14">
            <v>1</v>
          </cell>
          <cell r="AG14"/>
          <cell r="AH14">
            <v>1</v>
          </cell>
          <cell r="AI14"/>
          <cell r="AJ14"/>
          <cell r="AK14"/>
          <cell r="AL14">
            <v>1</v>
          </cell>
          <cell r="AM14">
            <v>1</v>
          </cell>
          <cell r="AN14">
            <v>1</v>
          </cell>
          <cell r="AO14">
            <v>1</v>
          </cell>
          <cell r="AP14">
            <v>1</v>
          </cell>
          <cell r="AQ14"/>
          <cell r="AR14"/>
          <cell r="AS14"/>
          <cell r="AT14"/>
          <cell r="AU14"/>
          <cell r="AV14"/>
          <cell r="AW14">
            <v>1</v>
          </cell>
          <cell r="AX14"/>
          <cell r="AY14"/>
          <cell r="AZ14" t="str">
            <v>B</v>
          </cell>
          <cell r="BA14" t="str">
            <v>세명금속</v>
          </cell>
          <cell r="BB14" t="str">
            <v>H50A17K</v>
          </cell>
          <cell r="BC14" t="str">
            <v>MB250902A-</v>
          </cell>
          <cell r="BD14" t="str">
            <v>F716</v>
          </cell>
          <cell r="BE14" t="str">
            <v>S/B</v>
          </cell>
          <cell r="BF14"/>
          <cell r="BG14"/>
          <cell r="BH14"/>
          <cell r="BI14">
            <v>49</v>
          </cell>
          <cell r="BJ14">
            <v>539</v>
          </cell>
          <cell r="BK14">
            <v>28</v>
          </cell>
          <cell r="BL14">
            <v>2</v>
          </cell>
          <cell r="BM14"/>
          <cell r="BN14"/>
          <cell r="BO14">
            <v>0</v>
          </cell>
          <cell r="BP14"/>
          <cell r="BQ14"/>
          <cell r="BR14"/>
          <cell r="BS14"/>
          <cell r="BT14"/>
          <cell r="BU14"/>
          <cell r="BV14"/>
          <cell r="BW14"/>
          <cell r="BX14"/>
          <cell r="BY14"/>
          <cell r="BZ14"/>
          <cell r="CA14"/>
          <cell r="CB14"/>
          <cell r="CC14"/>
          <cell r="CD14"/>
          <cell r="CE14"/>
          <cell r="CF14"/>
          <cell r="CG14"/>
          <cell r="CH14"/>
          <cell r="CI14"/>
          <cell r="CJ14"/>
          <cell r="CK14"/>
          <cell r="CL14"/>
          <cell r="CM14"/>
          <cell r="CN14"/>
          <cell r="CO14"/>
          <cell r="CP14"/>
        </row>
        <row r="15">
          <cell r="C15">
            <v>1892</v>
          </cell>
          <cell r="D15" t="str">
            <v>HQ505141</v>
          </cell>
          <cell r="E15" t="str">
            <v xml:space="preserve"> SILL,SIDE INR LH</v>
          </cell>
          <cell r="I15">
            <v>1</v>
          </cell>
          <cell r="J15">
            <v>1</v>
          </cell>
          <cell r="K15">
            <v>1</v>
          </cell>
          <cell r="O15">
            <v>1</v>
          </cell>
          <cell r="Q15">
            <v>1</v>
          </cell>
          <cell r="S15">
            <v>1</v>
          </cell>
          <cell r="T15">
            <v>1</v>
          </cell>
          <cell r="V15">
            <v>1</v>
          </cell>
          <cell r="X15">
            <v>1</v>
          </cell>
          <cell r="Y15">
            <v>1</v>
          </cell>
          <cell r="Z15">
            <v>1</v>
          </cell>
          <cell r="AA15">
            <v>1</v>
          </cell>
          <cell r="AE15">
            <v>1</v>
          </cell>
          <cell r="AG15">
            <v>1</v>
          </cell>
          <cell r="AI15">
            <v>1</v>
          </cell>
          <cell r="AJ15">
            <v>1</v>
          </cell>
          <cell r="AK15">
            <v>1</v>
          </cell>
          <cell r="AQ15">
            <v>1</v>
          </cell>
          <cell r="AR15">
            <v>1</v>
          </cell>
          <cell r="AS15">
            <v>1</v>
          </cell>
          <cell r="AT15">
            <v>1</v>
          </cell>
          <cell r="AU15">
            <v>1</v>
          </cell>
          <cell r="AV15">
            <v>1</v>
          </cell>
          <cell r="AX15">
            <v>1</v>
          </cell>
          <cell r="AY15">
            <v>1</v>
          </cell>
          <cell r="AZ15" t="str">
            <v>B</v>
          </cell>
          <cell r="BA15" t="str">
            <v>세명금속</v>
          </cell>
          <cell r="BB15" t="str">
            <v>H50A11K</v>
          </cell>
          <cell r="BC15" t="str">
            <v>HC000003A</v>
          </cell>
          <cell r="BD15" t="str">
            <v>F716</v>
          </cell>
          <cell r="BI15">
            <v>888</v>
          </cell>
          <cell r="BJ15">
            <v>458</v>
          </cell>
          <cell r="BK15">
            <v>90</v>
          </cell>
          <cell r="BL15">
            <v>100</v>
          </cell>
          <cell r="BM15"/>
          <cell r="BN15"/>
          <cell r="BO15">
            <v>0</v>
          </cell>
          <cell r="BP15"/>
          <cell r="BQ15"/>
          <cell r="BR15"/>
          <cell r="BS15"/>
          <cell r="BT15"/>
          <cell r="BU15"/>
          <cell r="BV15"/>
          <cell r="BW15"/>
          <cell r="BX15"/>
          <cell r="BY15"/>
          <cell r="BZ15"/>
          <cell r="CA15"/>
          <cell r="CB15"/>
          <cell r="CC15"/>
          <cell r="CD15"/>
          <cell r="CE15"/>
          <cell r="CF15"/>
          <cell r="CG15"/>
          <cell r="CH15"/>
          <cell r="CI15"/>
          <cell r="CJ15"/>
          <cell r="CK15"/>
          <cell r="CL15"/>
          <cell r="CM15"/>
          <cell r="CN15"/>
          <cell r="CO15"/>
          <cell r="CP15"/>
          <cell r="CQ15"/>
        </row>
        <row r="16">
          <cell r="C16">
            <v>1892</v>
          </cell>
          <cell r="D16" t="str">
            <v>HQ505142</v>
          </cell>
          <cell r="E16" t="str">
            <v xml:space="preserve"> SILL,SIDE INR RH</v>
          </cell>
          <cell r="I16">
            <v>1</v>
          </cell>
          <cell r="J16">
            <v>1</v>
          </cell>
          <cell r="K16">
            <v>1</v>
          </cell>
          <cell r="O16">
            <v>1</v>
          </cell>
          <cell r="Q16">
            <v>1</v>
          </cell>
          <cell r="S16">
            <v>1</v>
          </cell>
          <cell r="T16">
            <v>1</v>
          </cell>
          <cell r="V16">
            <v>1</v>
          </cell>
          <cell r="X16">
            <v>1</v>
          </cell>
          <cell r="Y16">
            <v>1</v>
          </cell>
          <cell r="Z16">
            <v>1</v>
          </cell>
          <cell r="AA16">
            <v>1</v>
          </cell>
          <cell r="AE16">
            <v>1</v>
          </cell>
          <cell r="AG16">
            <v>1</v>
          </cell>
          <cell r="AI16">
            <v>1</v>
          </cell>
          <cell r="AJ16">
            <v>1</v>
          </cell>
          <cell r="AK16">
            <v>1</v>
          </cell>
          <cell r="AQ16">
            <v>1</v>
          </cell>
          <cell r="AR16">
            <v>1</v>
          </cell>
          <cell r="AS16">
            <v>1</v>
          </cell>
          <cell r="AT16">
            <v>1</v>
          </cell>
          <cell r="AU16">
            <v>1</v>
          </cell>
          <cell r="AV16">
            <v>1</v>
          </cell>
          <cell r="AX16">
            <v>1</v>
          </cell>
          <cell r="AY16">
            <v>1</v>
          </cell>
          <cell r="AZ16" t="str">
            <v>B</v>
          </cell>
          <cell r="BA16" t="str">
            <v>세명금속</v>
          </cell>
          <cell r="BB16" t="str">
            <v>H50A11K</v>
          </cell>
          <cell r="BC16" t="str">
            <v>HC000004A</v>
          </cell>
          <cell r="BD16" t="str">
            <v>F716</v>
          </cell>
          <cell r="BI16">
            <v>888</v>
          </cell>
          <cell r="BJ16">
            <v>458</v>
          </cell>
          <cell r="BK16">
            <v>90</v>
          </cell>
          <cell r="BL16">
            <v>100</v>
          </cell>
          <cell r="BM16"/>
          <cell r="BN16"/>
          <cell r="BO16">
            <v>0</v>
          </cell>
          <cell r="BP16"/>
          <cell r="BQ16"/>
          <cell r="BR16"/>
          <cell r="BS16"/>
          <cell r="BT16"/>
          <cell r="BU16"/>
          <cell r="BV16"/>
          <cell r="BW16"/>
          <cell r="BX16"/>
          <cell r="BY16"/>
          <cell r="BZ16"/>
          <cell r="CA16"/>
          <cell r="CB16"/>
          <cell r="CC16"/>
          <cell r="CD16"/>
          <cell r="CE16"/>
          <cell r="CF16"/>
          <cell r="CG16"/>
          <cell r="CH16"/>
          <cell r="CI16"/>
          <cell r="CJ16"/>
          <cell r="CK16"/>
          <cell r="CL16"/>
          <cell r="CM16"/>
          <cell r="CN16"/>
          <cell r="CO16"/>
          <cell r="CP16"/>
          <cell r="CQ16"/>
        </row>
        <row r="17">
          <cell r="C17">
            <v>1995</v>
          </cell>
          <cell r="D17" t="str">
            <v>HQ505653</v>
          </cell>
          <cell r="E17" t="str">
            <v xml:space="preserve"> PLR FR INR UPR LH</v>
          </cell>
          <cell r="J17">
            <v>1</v>
          </cell>
          <cell r="K17">
            <v>1</v>
          </cell>
          <cell r="L17">
            <v>1</v>
          </cell>
          <cell r="M17">
            <v>1</v>
          </cell>
          <cell r="N17">
            <v>1</v>
          </cell>
          <cell r="O17">
            <v>1</v>
          </cell>
          <cell r="P17">
            <v>1</v>
          </cell>
          <cell r="Q17">
            <v>1</v>
          </cell>
          <cell r="S17">
            <v>1</v>
          </cell>
          <cell r="T17">
            <v>1</v>
          </cell>
          <cell r="U17">
            <v>1</v>
          </cell>
          <cell r="V17">
            <v>1</v>
          </cell>
          <cell r="W17">
            <v>1</v>
          </cell>
          <cell r="X17">
            <v>1</v>
          </cell>
          <cell r="Y17">
            <v>1</v>
          </cell>
          <cell r="Z17">
            <v>1</v>
          </cell>
          <cell r="AA17">
            <v>1</v>
          </cell>
          <cell r="AD17">
            <v>1</v>
          </cell>
          <cell r="AE17">
            <v>1</v>
          </cell>
          <cell r="AH17">
            <v>1</v>
          </cell>
          <cell r="AI17">
            <v>1</v>
          </cell>
          <cell r="AJ17">
            <v>1</v>
          </cell>
          <cell r="AK17">
            <v>1</v>
          </cell>
          <cell r="AL17">
            <v>1</v>
          </cell>
          <cell r="AM17">
            <v>1</v>
          </cell>
          <cell r="AN17">
            <v>1</v>
          </cell>
          <cell r="AO17">
            <v>1</v>
          </cell>
          <cell r="AP17">
            <v>1</v>
          </cell>
          <cell r="AQ17">
            <v>1</v>
          </cell>
          <cell r="AR17">
            <v>1</v>
          </cell>
          <cell r="AS17">
            <v>1</v>
          </cell>
          <cell r="AT17">
            <v>1</v>
          </cell>
          <cell r="AU17">
            <v>1</v>
          </cell>
          <cell r="AV17">
            <v>1</v>
          </cell>
          <cell r="AW17">
            <v>1</v>
          </cell>
          <cell r="AX17">
            <v>1</v>
          </cell>
          <cell r="AY17">
            <v>1</v>
          </cell>
          <cell r="AZ17" t="str">
            <v>B</v>
          </cell>
          <cell r="BA17" t="str">
            <v>세명금속</v>
          </cell>
          <cell r="BB17" t="str">
            <v>H50A16K</v>
          </cell>
          <cell r="BC17" t="str">
            <v>MB275624A</v>
          </cell>
          <cell r="BD17" t="str">
            <v>F716</v>
          </cell>
          <cell r="BI17">
            <v>917</v>
          </cell>
          <cell r="BJ17">
            <v>458</v>
          </cell>
          <cell r="BK17">
            <v>118</v>
          </cell>
          <cell r="BL17">
            <v>102</v>
          </cell>
          <cell r="BM17"/>
          <cell r="BN17"/>
          <cell r="BO17">
            <v>0</v>
          </cell>
          <cell r="BP17"/>
          <cell r="BQ17"/>
          <cell r="BR17"/>
          <cell r="BS17"/>
          <cell r="BT17"/>
          <cell r="BU17"/>
          <cell r="BV17"/>
          <cell r="BW17"/>
          <cell r="BX17"/>
          <cell r="BY17"/>
          <cell r="BZ17"/>
          <cell r="CA17"/>
          <cell r="CB17"/>
          <cell r="CC17"/>
          <cell r="CD17"/>
          <cell r="CE17"/>
          <cell r="CF17"/>
          <cell r="CG17"/>
          <cell r="CH17"/>
          <cell r="CI17"/>
          <cell r="CJ17"/>
          <cell r="CK17"/>
          <cell r="CL17"/>
          <cell r="CM17"/>
          <cell r="CN17"/>
          <cell r="CO17"/>
          <cell r="CP17"/>
          <cell r="CQ17"/>
        </row>
        <row r="18">
          <cell r="C18">
            <v>1950</v>
          </cell>
          <cell r="D18" t="str">
            <v>HQ505654</v>
          </cell>
          <cell r="E18" t="str">
            <v xml:space="preserve"> PLR FR INR UPR RH</v>
          </cell>
          <cell r="J18">
            <v>1</v>
          </cell>
          <cell r="K18">
            <v>1</v>
          </cell>
          <cell r="L18">
            <v>1</v>
          </cell>
          <cell r="M18">
            <v>1</v>
          </cell>
          <cell r="N18">
            <v>1</v>
          </cell>
          <cell r="O18">
            <v>1</v>
          </cell>
          <cell r="P18">
            <v>1</v>
          </cell>
          <cell r="Q18">
            <v>1</v>
          </cell>
          <cell r="S18">
            <v>1</v>
          </cell>
          <cell r="T18">
            <v>1</v>
          </cell>
          <cell r="U18">
            <v>1</v>
          </cell>
          <cell r="V18">
            <v>1</v>
          </cell>
          <cell r="W18">
            <v>1</v>
          </cell>
          <cell r="X18">
            <v>1</v>
          </cell>
          <cell r="Y18">
            <v>1</v>
          </cell>
          <cell r="Z18">
            <v>1</v>
          </cell>
          <cell r="AA18">
            <v>1</v>
          </cell>
          <cell r="AD18">
            <v>1</v>
          </cell>
          <cell r="AE18">
            <v>1</v>
          </cell>
          <cell r="AH18">
            <v>1</v>
          </cell>
          <cell r="AI18">
            <v>1</v>
          </cell>
          <cell r="AJ18">
            <v>1</v>
          </cell>
          <cell r="AL18">
            <v>1</v>
          </cell>
          <cell r="AM18">
            <v>1</v>
          </cell>
          <cell r="AN18">
            <v>1</v>
          </cell>
          <cell r="AO18">
            <v>1</v>
          </cell>
          <cell r="AP18">
            <v>1</v>
          </cell>
          <cell r="AQ18">
            <v>1</v>
          </cell>
          <cell r="AS18">
            <v>1</v>
          </cell>
          <cell r="AT18">
            <v>1</v>
          </cell>
          <cell r="AU18">
            <v>1</v>
          </cell>
          <cell r="AV18">
            <v>1</v>
          </cell>
          <cell r="AW18">
            <v>1</v>
          </cell>
          <cell r="AZ18" t="str">
            <v>B</v>
          </cell>
          <cell r="BA18" t="str">
            <v>세명금속</v>
          </cell>
          <cell r="BB18" t="str">
            <v>H50A16K</v>
          </cell>
          <cell r="BC18" t="str">
            <v>MB275625A</v>
          </cell>
          <cell r="BD18" t="str">
            <v>F716</v>
          </cell>
          <cell r="BI18">
            <v>917</v>
          </cell>
          <cell r="BJ18">
            <v>458</v>
          </cell>
          <cell r="BK18">
            <v>117</v>
          </cell>
          <cell r="BL18">
            <v>58</v>
          </cell>
          <cell r="BM18"/>
          <cell r="BN18"/>
          <cell r="BO18">
            <v>0</v>
          </cell>
          <cell r="BP18"/>
          <cell r="BQ18"/>
          <cell r="BR18"/>
          <cell r="BS18"/>
          <cell r="BT18"/>
          <cell r="BU18"/>
          <cell r="BV18"/>
          <cell r="BW18"/>
          <cell r="BX18"/>
          <cell r="BY18"/>
          <cell r="BZ18"/>
          <cell r="CA18"/>
          <cell r="CB18"/>
          <cell r="CC18"/>
          <cell r="CD18"/>
          <cell r="CE18"/>
          <cell r="CF18"/>
          <cell r="CG18"/>
          <cell r="CH18"/>
          <cell r="CI18"/>
          <cell r="CJ18"/>
          <cell r="CK18"/>
          <cell r="CL18"/>
          <cell r="CM18"/>
          <cell r="CN18"/>
          <cell r="CO18"/>
          <cell r="CP18"/>
          <cell r="CQ18"/>
        </row>
        <row r="19">
          <cell r="C19">
            <v>2337</v>
          </cell>
          <cell r="D19" t="str">
            <v>HQ505657</v>
          </cell>
          <cell r="E19" t="str">
            <v xml:space="preserve"> PLR ASSY FR INR LWR LH</v>
          </cell>
          <cell r="H19">
            <v>1</v>
          </cell>
          <cell r="I19">
            <v>1</v>
          </cell>
          <cell r="J19">
            <v>1</v>
          </cell>
          <cell r="K19">
            <v>1</v>
          </cell>
          <cell r="L19">
            <v>1</v>
          </cell>
          <cell r="M19">
            <v>1</v>
          </cell>
          <cell r="N19">
            <v>1</v>
          </cell>
          <cell r="O19">
            <v>1</v>
          </cell>
          <cell r="P19">
            <v>1</v>
          </cell>
          <cell r="Q19">
            <v>1</v>
          </cell>
          <cell r="R19">
            <v>1</v>
          </cell>
          <cell r="S19">
            <v>1</v>
          </cell>
          <cell r="T19">
            <v>1</v>
          </cell>
          <cell r="U19">
            <v>1</v>
          </cell>
          <cell r="V19">
            <v>1</v>
          </cell>
          <cell r="W19">
            <v>1</v>
          </cell>
          <cell r="X19">
            <v>1</v>
          </cell>
          <cell r="Y19">
            <v>1</v>
          </cell>
          <cell r="Z19">
            <v>1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Z19" t="str">
            <v>B</v>
          </cell>
          <cell r="BA19" t="str">
            <v>세명금속</v>
          </cell>
          <cell r="BB19" t="str">
            <v>H50A16K</v>
          </cell>
          <cell r="BC19" t="str">
            <v>HC000061B</v>
          </cell>
          <cell r="BD19" t="str">
            <v>F716</v>
          </cell>
          <cell r="BI19">
            <v>937</v>
          </cell>
          <cell r="BJ19">
            <v>997</v>
          </cell>
          <cell r="BK19">
            <v>0</v>
          </cell>
          <cell r="BL19">
            <v>0</v>
          </cell>
          <cell r="BM19"/>
          <cell r="BN19"/>
          <cell r="BO19">
            <v>0</v>
          </cell>
          <cell r="BP19"/>
          <cell r="BQ19"/>
          <cell r="BR19"/>
          <cell r="BS19"/>
          <cell r="BT19"/>
          <cell r="BU19"/>
          <cell r="BV19"/>
          <cell r="BW19"/>
          <cell r="BX19"/>
          <cell r="BY19"/>
          <cell r="BZ19"/>
          <cell r="CA19"/>
          <cell r="CB19"/>
          <cell r="CC19"/>
          <cell r="CD19"/>
          <cell r="CE19"/>
          <cell r="CF19"/>
          <cell r="CG19"/>
          <cell r="CH19"/>
          <cell r="CI19"/>
          <cell r="CJ19"/>
          <cell r="CK19"/>
          <cell r="CL19"/>
          <cell r="CM19"/>
          <cell r="CN19"/>
          <cell r="CO19"/>
          <cell r="CP19"/>
        </row>
        <row r="20">
          <cell r="C20">
            <v>1311</v>
          </cell>
          <cell r="D20" t="str">
            <v>HQ505668</v>
          </cell>
          <cell r="E20" t="str">
            <v xml:space="preserve"> PLR ASSY FR INR LWR RH</v>
          </cell>
          <cell r="F20" t="str">
            <v>-661B,-651A</v>
          </cell>
          <cell r="H20">
            <v>1</v>
          </cell>
          <cell r="I20">
            <v>1</v>
          </cell>
          <cell r="J20">
            <v>1</v>
          </cell>
          <cell r="L20">
            <v>1</v>
          </cell>
          <cell r="R20">
            <v>1</v>
          </cell>
          <cell r="S20">
            <v>1</v>
          </cell>
          <cell r="T20">
            <v>1</v>
          </cell>
          <cell r="U20">
            <v>1</v>
          </cell>
          <cell r="V20">
            <v>1</v>
          </cell>
          <cell r="Y20">
            <v>1</v>
          </cell>
          <cell r="AA20">
            <v>1</v>
          </cell>
          <cell r="AB20">
            <v>1</v>
          </cell>
          <cell r="AC20">
            <v>1</v>
          </cell>
          <cell r="AD20">
            <v>1</v>
          </cell>
          <cell r="AZ20" t="str">
            <v>B</v>
          </cell>
          <cell r="BA20" t="str">
            <v>세명금속</v>
          </cell>
          <cell r="BB20" t="str">
            <v>H50A16K</v>
          </cell>
          <cell r="BD20" t="str">
            <v>F716</v>
          </cell>
          <cell r="BI20">
            <v>253</v>
          </cell>
          <cell r="BJ20">
            <v>995</v>
          </cell>
          <cell r="BK20">
            <v>0</v>
          </cell>
          <cell r="BL20">
            <v>0</v>
          </cell>
          <cell r="BM20"/>
          <cell r="BN20"/>
          <cell r="BO20">
            <v>0</v>
          </cell>
          <cell r="BP20"/>
          <cell r="BQ20"/>
          <cell r="BR20"/>
          <cell r="BS20"/>
          <cell r="BT20"/>
          <cell r="BU20"/>
          <cell r="BV20"/>
          <cell r="BW20"/>
          <cell r="BX20"/>
          <cell r="BY20"/>
          <cell r="BZ20"/>
          <cell r="CA20"/>
          <cell r="CB20"/>
          <cell r="CC20"/>
          <cell r="CD20"/>
          <cell r="CE20"/>
          <cell r="CF20"/>
          <cell r="CG20"/>
          <cell r="CH20"/>
          <cell r="CI20"/>
          <cell r="CJ20"/>
          <cell r="CK20"/>
          <cell r="CL20"/>
          <cell r="CM20"/>
          <cell r="CN20"/>
          <cell r="CO20"/>
          <cell r="CP20"/>
        </row>
        <row r="21">
          <cell r="C21">
            <v>1036</v>
          </cell>
          <cell r="D21" t="str">
            <v>HQ505688</v>
          </cell>
          <cell r="E21" t="str">
            <v xml:space="preserve"> PLR ASSY-FR INR LWR RH</v>
          </cell>
          <cell r="F21" t="str">
            <v>+661B</v>
          </cell>
          <cell r="K21">
            <v>1</v>
          </cell>
          <cell r="M21">
            <v>1</v>
          </cell>
          <cell r="N21">
            <v>1</v>
          </cell>
          <cell r="O21">
            <v>1</v>
          </cell>
          <cell r="P21">
            <v>1</v>
          </cell>
          <cell r="Q21">
            <v>1</v>
          </cell>
          <cell r="W21">
            <v>1</v>
          </cell>
          <cell r="X21">
            <v>1</v>
          </cell>
          <cell r="Z21">
            <v>1</v>
          </cell>
          <cell r="AD21">
            <v>1</v>
          </cell>
          <cell r="AZ21" t="str">
            <v>B</v>
          </cell>
          <cell r="BA21" t="str">
            <v>세명금속</v>
          </cell>
          <cell r="BB21" t="str">
            <v>H50A16K</v>
          </cell>
          <cell r="BC21" t="str">
            <v>HC000116D</v>
          </cell>
          <cell r="BD21" t="str">
            <v>F716</v>
          </cell>
          <cell r="BI21">
            <v>684</v>
          </cell>
          <cell r="BJ21">
            <v>2</v>
          </cell>
          <cell r="BK21">
            <v>0</v>
          </cell>
          <cell r="BL21">
            <v>0</v>
          </cell>
          <cell r="BM21"/>
          <cell r="BN21"/>
          <cell r="BO21">
            <v>0</v>
          </cell>
          <cell r="BP21"/>
          <cell r="BQ21"/>
          <cell r="BR21"/>
          <cell r="BS21"/>
          <cell r="BT21"/>
          <cell r="BU21"/>
          <cell r="BV21"/>
          <cell r="BW21"/>
          <cell r="BX21"/>
          <cell r="BY21"/>
          <cell r="BZ21"/>
          <cell r="CA21"/>
          <cell r="CB21"/>
          <cell r="CC21"/>
          <cell r="CD21"/>
          <cell r="CE21"/>
          <cell r="CF21"/>
          <cell r="CG21"/>
          <cell r="CH21"/>
          <cell r="CI21"/>
          <cell r="CJ21"/>
          <cell r="CK21"/>
          <cell r="CL21"/>
          <cell r="CM21"/>
          <cell r="CN21"/>
          <cell r="CO21"/>
          <cell r="CP21"/>
        </row>
        <row r="22">
          <cell r="C22">
            <v>589</v>
          </cell>
          <cell r="D22" t="str">
            <v>MB250317A</v>
          </cell>
          <cell r="E22" t="str">
            <v xml:space="preserve"> PILLAR FR INR UPR LH</v>
          </cell>
          <cell r="H22">
            <v>1</v>
          </cell>
          <cell r="I22">
            <v>1</v>
          </cell>
          <cell r="R22">
            <v>1</v>
          </cell>
          <cell r="AB22">
            <v>1</v>
          </cell>
          <cell r="AC22">
            <v>1</v>
          </cell>
          <cell r="AF22">
            <v>1</v>
          </cell>
          <cell r="AG22">
            <v>1</v>
          </cell>
          <cell r="AH22"/>
          <cell r="AI22"/>
          <cell r="AJ22"/>
          <cell r="AK22"/>
          <cell r="AL22"/>
          <cell r="AM22"/>
          <cell r="AN22"/>
          <cell r="AO22"/>
          <cell r="AP22"/>
          <cell r="AQ22"/>
          <cell r="AR22"/>
          <cell r="AS22"/>
          <cell r="AT22"/>
          <cell r="AU22"/>
          <cell r="AV22"/>
          <cell r="AW22"/>
          <cell r="AX22"/>
          <cell r="AY22"/>
          <cell r="AZ22" t="str">
            <v>B</v>
          </cell>
          <cell r="BA22" t="str">
            <v>세명금속</v>
          </cell>
          <cell r="BB22" t="str">
            <v>H50A16K</v>
          </cell>
          <cell r="BC22" t="str">
            <v>LINE H/ROOF미적용</v>
          </cell>
          <cell r="BD22" t="str">
            <v>F716</v>
          </cell>
          <cell r="BE22" t="str">
            <v>STD,H/R</v>
          </cell>
          <cell r="BF22"/>
          <cell r="BG22"/>
          <cell r="BH22"/>
          <cell r="BI22">
            <v>20</v>
          </cell>
          <cell r="BJ22">
            <v>539</v>
          </cell>
          <cell r="BK22">
            <v>0</v>
          </cell>
          <cell r="BL22">
            <v>0</v>
          </cell>
          <cell r="BM22"/>
          <cell r="BN22"/>
          <cell r="BO22">
            <v>0</v>
          </cell>
          <cell r="BP22"/>
          <cell r="BQ22"/>
          <cell r="BR22"/>
          <cell r="BS22"/>
          <cell r="BT22"/>
          <cell r="BU22"/>
          <cell r="BV22"/>
          <cell r="BW22"/>
          <cell r="BX22"/>
          <cell r="BY22"/>
          <cell r="BZ22"/>
          <cell r="CA22"/>
          <cell r="CB22"/>
          <cell r="CC22"/>
          <cell r="CD22"/>
          <cell r="CE22"/>
          <cell r="CF22"/>
          <cell r="CG22"/>
          <cell r="CH22"/>
          <cell r="CI22"/>
          <cell r="CJ22"/>
          <cell r="CK22"/>
          <cell r="CL22"/>
          <cell r="CM22"/>
          <cell r="CN22"/>
          <cell r="CO22"/>
        </row>
        <row r="23">
          <cell r="C23">
            <v>589</v>
          </cell>
          <cell r="D23" t="str">
            <v>MB250318A</v>
          </cell>
          <cell r="E23" t="str">
            <v xml:space="preserve"> PILLAR FR INR UPR RH</v>
          </cell>
          <cell r="H23">
            <v>1</v>
          </cell>
          <cell r="I23">
            <v>1</v>
          </cell>
          <cell r="R23">
            <v>1</v>
          </cell>
          <cell r="AB23">
            <v>1</v>
          </cell>
          <cell r="AC23">
            <v>1</v>
          </cell>
          <cell r="AF23">
            <v>1</v>
          </cell>
          <cell r="AG23">
            <v>1</v>
          </cell>
          <cell r="AH23"/>
          <cell r="AI23"/>
          <cell r="AJ23"/>
          <cell r="AK23"/>
          <cell r="AL23"/>
          <cell r="AM23"/>
          <cell r="AN23"/>
          <cell r="AO23"/>
          <cell r="AP23"/>
          <cell r="AQ23"/>
          <cell r="AR23"/>
          <cell r="AS23"/>
          <cell r="AT23"/>
          <cell r="AU23"/>
          <cell r="AV23"/>
          <cell r="AW23"/>
          <cell r="AX23"/>
          <cell r="AY23"/>
          <cell r="AZ23" t="str">
            <v>B</v>
          </cell>
          <cell r="BA23" t="str">
            <v>세명금속</v>
          </cell>
          <cell r="BB23" t="str">
            <v>H50A16K</v>
          </cell>
          <cell r="BC23" t="str">
            <v xml:space="preserve"> 〃(KICK UP JOB#1)</v>
          </cell>
          <cell r="BD23" t="str">
            <v>F716</v>
          </cell>
          <cell r="BE23" t="str">
            <v>STD,H/R</v>
          </cell>
          <cell r="BF23"/>
          <cell r="BG23"/>
          <cell r="BH23"/>
          <cell r="BI23">
            <v>20</v>
          </cell>
          <cell r="BJ23">
            <v>539</v>
          </cell>
          <cell r="BK23">
            <v>0</v>
          </cell>
          <cell r="BL23">
            <v>0</v>
          </cell>
          <cell r="BM23"/>
          <cell r="BN23"/>
          <cell r="BO23">
            <v>0</v>
          </cell>
          <cell r="BP23"/>
          <cell r="BQ23"/>
          <cell r="BR23"/>
          <cell r="BS23"/>
          <cell r="BT23"/>
          <cell r="BU23"/>
          <cell r="BV23"/>
          <cell r="BW23"/>
          <cell r="BX23"/>
          <cell r="BY23"/>
          <cell r="BZ23"/>
          <cell r="CA23"/>
          <cell r="CB23"/>
          <cell r="CC23"/>
          <cell r="CD23"/>
          <cell r="CE23"/>
          <cell r="CF23"/>
          <cell r="CG23"/>
          <cell r="CH23"/>
          <cell r="CI23"/>
          <cell r="CJ23"/>
          <cell r="CK23"/>
          <cell r="CL23"/>
          <cell r="CM23"/>
          <cell r="CN23"/>
          <cell r="CO23"/>
        </row>
        <row r="24">
          <cell r="C24">
            <v>2584</v>
          </cell>
          <cell r="D24" t="str">
            <v>MB250413A</v>
          </cell>
          <cell r="E24" t="str">
            <v xml:space="preserve"> REINF,RR END PANEL LH</v>
          </cell>
          <cell r="G24">
            <v>1</v>
          </cell>
          <cell r="AZ24" t="str">
            <v>B</v>
          </cell>
          <cell r="BA24" t="str">
            <v>세명금속</v>
          </cell>
          <cell r="BB24" t="str">
            <v>H50A17K</v>
          </cell>
          <cell r="BD24" t="str">
            <v>F716</v>
          </cell>
          <cell r="BE24" t="str">
            <v>ALL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/>
          <cell r="BN24"/>
          <cell r="BO24">
            <v>0</v>
          </cell>
          <cell r="BP24"/>
          <cell r="BQ24"/>
          <cell r="BR24"/>
          <cell r="BS24"/>
          <cell r="BT24"/>
          <cell r="BU24"/>
          <cell r="BV24"/>
          <cell r="BW24"/>
          <cell r="BX24"/>
          <cell r="BY24"/>
          <cell r="BZ24"/>
          <cell r="CA24"/>
          <cell r="CB24"/>
          <cell r="CC24"/>
          <cell r="CD24"/>
          <cell r="CE24"/>
          <cell r="CF24"/>
          <cell r="CG24"/>
          <cell r="CH24"/>
          <cell r="CI24"/>
          <cell r="CJ24"/>
          <cell r="CK24"/>
        </row>
        <row r="25">
          <cell r="C25">
            <v>2584</v>
          </cell>
          <cell r="D25" t="str">
            <v>MB250416A</v>
          </cell>
          <cell r="E25" t="str">
            <v xml:space="preserve"> REINF,RR END PANEL RH</v>
          </cell>
          <cell r="G25">
            <v>1</v>
          </cell>
          <cell r="AZ25" t="str">
            <v>B</v>
          </cell>
          <cell r="BA25" t="str">
            <v>세명금속</v>
          </cell>
          <cell r="BB25" t="str">
            <v>H50A17K</v>
          </cell>
          <cell r="BD25" t="str">
            <v>F716</v>
          </cell>
          <cell r="BE25" t="str">
            <v>ALL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/>
          <cell r="BN25"/>
          <cell r="BO25">
            <v>0</v>
          </cell>
          <cell r="BP25"/>
          <cell r="BQ25"/>
          <cell r="BR25"/>
          <cell r="BS25"/>
          <cell r="BT25"/>
          <cell r="BU25"/>
          <cell r="BV25"/>
          <cell r="BW25"/>
          <cell r="BX25"/>
          <cell r="BY25"/>
          <cell r="BZ25"/>
          <cell r="CA25"/>
          <cell r="CB25"/>
          <cell r="CC25"/>
          <cell r="CD25"/>
          <cell r="CE25"/>
          <cell r="CF25"/>
          <cell r="CG25"/>
          <cell r="CH25"/>
          <cell r="CI25"/>
          <cell r="CJ25"/>
          <cell r="CK25"/>
        </row>
        <row r="26">
          <cell r="C26">
            <v>692</v>
          </cell>
          <cell r="D26" t="str">
            <v>MB250457A</v>
          </cell>
          <cell r="E26" t="str">
            <v xml:space="preserve"> PANEL,SIDE INR LWR LH</v>
          </cell>
          <cell r="H26">
            <v>1</v>
          </cell>
          <cell r="L26">
            <v>1</v>
          </cell>
          <cell r="M26">
            <v>1</v>
          </cell>
          <cell r="N26">
            <v>1</v>
          </cell>
          <cell r="P26">
            <v>1</v>
          </cell>
          <cell r="R26">
            <v>1</v>
          </cell>
          <cell r="U26">
            <v>1</v>
          </cell>
          <cell r="W26">
            <v>1</v>
          </cell>
          <cell r="AB26">
            <v>1</v>
          </cell>
          <cell r="AC26">
            <v>1</v>
          </cell>
          <cell r="AD26">
            <v>1</v>
          </cell>
          <cell r="AF26">
            <v>1</v>
          </cell>
          <cell r="AG26"/>
          <cell r="AH26">
            <v>1</v>
          </cell>
          <cell r="AI26"/>
          <cell r="AJ26"/>
          <cell r="AK26"/>
          <cell r="AL26">
            <v>1</v>
          </cell>
          <cell r="AM26">
            <v>1</v>
          </cell>
          <cell r="AN26">
            <v>1</v>
          </cell>
          <cell r="AO26">
            <v>1</v>
          </cell>
          <cell r="AP26">
            <v>1</v>
          </cell>
          <cell r="AQ26"/>
          <cell r="AR26"/>
          <cell r="AS26"/>
          <cell r="AT26"/>
          <cell r="AU26"/>
          <cell r="AV26"/>
          <cell r="AW26">
            <v>1</v>
          </cell>
          <cell r="AX26"/>
          <cell r="AY26"/>
          <cell r="AZ26" t="str">
            <v>B</v>
          </cell>
          <cell r="BA26" t="str">
            <v>세명금속</v>
          </cell>
          <cell r="BB26" t="str">
            <v>H50A17K</v>
          </cell>
          <cell r="BC26"/>
          <cell r="BD26" t="str">
            <v>F716</v>
          </cell>
          <cell r="BE26" t="str">
            <v>S/B</v>
          </cell>
          <cell r="BF26"/>
          <cell r="BG26"/>
          <cell r="BH26"/>
          <cell r="BI26">
            <v>49</v>
          </cell>
          <cell r="BJ26">
            <v>539</v>
          </cell>
          <cell r="BK26">
            <v>28</v>
          </cell>
          <cell r="BL26">
            <v>2</v>
          </cell>
          <cell r="BM26"/>
          <cell r="BN26"/>
          <cell r="BO26">
            <v>0</v>
          </cell>
          <cell r="BP26"/>
          <cell r="BQ26"/>
          <cell r="BR26"/>
          <cell r="BS26"/>
          <cell r="BT26"/>
          <cell r="BU26"/>
          <cell r="BV26"/>
          <cell r="BW26"/>
          <cell r="BX26"/>
          <cell r="BY26"/>
          <cell r="BZ26"/>
          <cell r="CA26"/>
          <cell r="CB26"/>
          <cell r="CC26"/>
          <cell r="CD26"/>
          <cell r="CE26"/>
          <cell r="CF26"/>
          <cell r="CG26"/>
          <cell r="CH26"/>
          <cell r="CI26"/>
          <cell r="CJ26"/>
          <cell r="CK26"/>
          <cell r="CL26"/>
          <cell r="CM26"/>
          <cell r="CN26"/>
          <cell r="CO26"/>
          <cell r="CP26"/>
        </row>
        <row r="27">
          <cell r="C27">
            <v>692</v>
          </cell>
          <cell r="D27" t="str">
            <v>MB250458A</v>
          </cell>
          <cell r="E27" t="str">
            <v xml:space="preserve"> PANEL,SIDE,INR LWR RH</v>
          </cell>
          <cell r="H27">
            <v>1</v>
          </cell>
          <cell r="L27">
            <v>1</v>
          </cell>
          <cell r="M27">
            <v>1</v>
          </cell>
          <cell r="N27">
            <v>1</v>
          </cell>
          <cell r="P27">
            <v>1</v>
          </cell>
          <cell r="R27">
            <v>1</v>
          </cell>
          <cell r="U27">
            <v>1</v>
          </cell>
          <cell r="W27">
            <v>1</v>
          </cell>
          <cell r="AB27">
            <v>1</v>
          </cell>
          <cell r="AC27">
            <v>1</v>
          </cell>
          <cell r="AD27">
            <v>1</v>
          </cell>
          <cell r="AF27">
            <v>1</v>
          </cell>
          <cell r="AG27"/>
          <cell r="AH27">
            <v>1</v>
          </cell>
          <cell r="AI27"/>
          <cell r="AJ27"/>
          <cell r="AK27"/>
          <cell r="AL27">
            <v>1</v>
          </cell>
          <cell r="AM27">
            <v>1</v>
          </cell>
          <cell r="AN27">
            <v>1</v>
          </cell>
          <cell r="AO27">
            <v>1</v>
          </cell>
          <cell r="AP27">
            <v>1</v>
          </cell>
          <cell r="AQ27"/>
          <cell r="AR27"/>
          <cell r="AS27"/>
          <cell r="AT27"/>
          <cell r="AU27"/>
          <cell r="AV27"/>
          <cell r="AW27">
            <v>1</v>
          </cell>
          <cell r="AX27"/>
          <cell r="AY27"/>
          <cell r="AZ27" t="str">
            <v>B</v>
          </cell>
          <cell r="BA27" t="str">
            <v>세명금속</v>
          </cell>
          <cell r="BB27" t="str">
            <v>H50A17K</v>
          </cell>
          <cell r="BC27"/>
          <cell r="BD27" t="str">
            <v>F716</v>
          </cell>
          <cell r="BE27" t="str">
            <v>S/B</v>
          </cell>
          <cell r="BF27"/>
          <cell r="BG27"/>
          <cell r="BH27"/>
          <cell r="BI27">
            <v>49</v>
          </cell>
          <cell r="BJ27">
            <v>539</v>
          </cell>
          <cell r="BK27">
            <v>28</v>
          </cell>
          <cell r="BL27">
            <v>2</v>
          </cell>
          <cell r="BM27"/>
          <cell r="BN27"/>
          <cell r="BO27">
            <v>0</v>
          </cell>
          <cell r="BP27"/>
          <cell r="BQ27"/>
          <cell r="BR27"/>
          <cell r="BS27"/>
          <cell r="BT27"/>
          <cell r="BU27"/>
          <cell r="BV27"/>
          <cell r="BW27"/>
          <cell r="BX27"/>
          <cell r="BY27"/>
          <cell r="BZ27"/>
          <cell r="CA27"/>
          <cell r="CB27"/>
          <cell r="CC27"/>
          <cell r="CD27"/>
          <cell r="CE27"/>
          <cell r="CF27"/>
          <cell r="CG27"/>
          <cell r="CH27"/>
          <cell r="CI27"/>
          <cell r="CJ27"/>
          <cell r="CK27"/>
          <cell r="CL27"/>
          <cell r="CM27"/>
          <cell r="CN27"/>
          <cell r="CO27"/>
          <cell r="CP27"/>
        </row>
        <row r="28">
          <cell r="C28">
            <v>2454</v>
          </cell>
          <cell r="D28" t="str">
            <v>MB250487A</v>
          </cell>
          <cell r="E28" t="str">
            <v xml:space="preserve"> PANEL ASSY COWL TOP FR</v>
          </cell>
          <cell r="H28">
            <v>1</v>
          </cell>
          <cell r="I28">
            <v>1</v>
          </cell>
          <cell r="J28">
            <v>1</v>
          </cell>
          <cell r="K28">
            <v>1</v>
          </cell>
          <cell r="L28">
            <v>1</v>
          </cell>
          <cell r="M28">
            <v>1</v>
          </cell>
          <cell r="N28">
            <v>1</v>
          </cell>
          <cell r="O28">
            <v>1</v>
          </cell>
          <cell r="P28">
            <v>1</v>
          </cell>
          <cell r="Q28">
            <v>1</v>
          </cell>
          <cell r="R28">
            <v>1</v>
          </cell>
          <cell r="S28">
            <v>1</v>
          </cell>
          <cell r="T28">
            <v>1</v>
          </cell>
          <cell r="U28">
            <v>1</v>
          </cell>
          <cell r="V28">
            <v>1</v>
          </cell>
          <cell r="Y28">
            <v>1</v>
          </cell>
          <cell r="Z28">
            <v>1</v>
          </cell>
          <cell r="AA28">
            <v>1</v>
          </cell>
          <cell r="AB28">
            <v>1</v>
          </cell>
          <cell r="AC28">
            <v>1</v>
          </cell>
          <cell r="AD28">
            <v>1</v>
          </cell>
          <cell r="AF28">
            <v>1</v>
          </cell>
          <cell r="AG28">
            <v>1</v>
          </cell>
          <cell r="AH28"/>
          <cell r="AI28"/>
          <cell r="AJ28">
            <v>1</v>
          </cell>
          <cell r="AK28">
            <v>1</v>
          </cell>
          <cell r="AL28">
            <v>1</v>
          </cell>
          <cell r="AM28">
            <v>1</v>
          </cell>
          <cell r="AN28"/>
          <cell r="AO28">
            <v>1</v>
          </cell>
          <cell r="AP28"/>
          <cell r="AQ28">
            <v>1</v>
          </cell>
          <cell r="AR28"/>
          <cell r="AS28">
            <v>1</v>
          </cell>
          <cell r="AT28"/>
          <cell r="AU28">
            <v>1</v>
          </cell>
          <cell r="AV28">
            <v>1</v>
          </cell>
          <cell r="AW28"/>
          <cell r="AX28">
            <v>1</v>
          </cell>
          <cell r="AY28"/>
          <cell r="AZ28" t="str">
            <v>B</v>
          </cell>
          <cell r="BA28" t="str">
            <v>세명금속</v>
          </cell>
          <cell r="BB28" t="str">
            <v>H50A18K</v>
          </cell>
          <cell r="BC28" t="str">
            <v>MB591512</v>
          </cell>
          <cell r="BD28" t="str">
            <v>F716</v>
          </cell>
          <cell r="BE28"/>
          <cell r="BF28"/>
          <cell r="BG28"/>
          <cell r="BH28"/>
          <cell r="BI28">
            <v>937</v>
          </cell>
          <cell r="BJ28">
            <v>995</v>
          </cell>
          <cell r="BK28">
            <v>58</v>
          </cell>
          <cell r="BL28">
            <v>56</v>
          </cell>
          <cell r="BM28"/>
          <cell r="BN28"/>
          <cell r="BO28">
            <v>0</v>
          </cell>
          <cell r="BP28"/>
          <cell r="BQ28"/>
          <cell r="BR28"/>
          <cell r="BS28"/>
          <cell r="BT28"/>
          <cell r="BU28"/>
          <cell r="BV28"/>
          <cell r="BW28"/>
          <cell r="BX28"/>
          <cell r="BY28"/>
          <cell r="BZ28"/>
          <cell r="CA28"/>
          <cell r="CB28"/>
          <cell r="CC28"/>
          <cell r="CD28"/>
          <cell r="CE28"/>
          <cell r="CF28"/>
          <cell r="CG28"/>
          <cell r="CH28"/>
          <cell r="CI28"/>
          <cell r="CJ28"/>
          <cell r="CK28"/>
          <cell r="CL28"/>
          <cell r="CM28"/>
          <cell r="CN28"/>
          <cell r="CO28"/>
          <cell r="CP28"/>
        </row>
        <row r="29">
          <cell r="C29">
            <v>589</v>
          </cell>
          <cell r="D29" t="str">
            <v>MB250877A</v>
          </cell>
          <cell r="E29" t="str">
            <v xml:space="preserve"> PANEL,RR END INR UPR LH삭제</v>
          </cell>
          <cell r="H29">
            <v>1</v>
          </cell>
          <cell r="I29">
            <v>1</v>
          </cell>
          <cell r="R29">
            <v>1</v>
          </cell>
          <cell r="AB29">
            <v>1</v>
          </cell>
          <cell r="AC29">
            <v>1</v>
          </cell>
          <cell r="AF29">
            <v>1</v>
          </cell>
          <cell r="AG29">
            <v>1</v>
          </cell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  <cell r="AV29"/>
          <cell r="AW29"/>
          <cell r="AX29"/>
          <cell r="AY29"/>
          <cell r="AZ29" t="str">
            <v>B</v>
          </cell>
          <cell r="BA29" t="str">
            <v>세명금속</v>
          </cell>
          <cell r="BB29" t="str">
            <v>H50A17K</v>
          </cell>
          <cell r="BC29" t="str">
            <v>MB591375A,H/R삭제</v>
          </cell>
          <cell r="BD29" t="str">
            <v>F716</v>
          </cell>
          <cell r="BE29" t="str">
            <v>S/B</v>
          </cell>
          <cell r="BF29"/>
          <cell r="BG29"/>
          <cell r="BH29"/>
          <cell r="BI29">
            <v>20</v>
          </cell>
          <cell r="BJ29">
            <v>539</v>
          </cell>
          <cell r="BK29">
            <v>0</v>
          </cell>
          <cell r="BL29">
            <v>0</v>
          </cell>
          <cell r="BM29"/>
          <cell r="BN29"/>
          <cell r="BO29">
            <v>0</v>
          </cell>
          <cell r="BP29"/>
          <cell r="BQ29"/>
          <cell r="BR29"/>
          <cell r="BS29"/>
          <cell r="BT29"/>
          <cell r="BU29"/>
          <cell r="BV29"/>
          <cell r="BW29"/>
          <cell r="BX29"/>
          <cell r="BY29"/>
          <cell r="BZ29"/>
          <cell r="CA29"/>
          <cell r="CB29"/>
          <cell r="CC29"/>
          <cell r="CD29"/>
          <cell r="CE29"/>
          <cell r="CF29"/>
          <cell r="CG29"/>
          <cell r="CH29"/>
          <cell r="CI29"/>
          <cell r="CJ29"/>
          <cell r="CK29"/>
          <cell r="CL29"/>
          <cell r="CM29"/>
          <cell r="CN29"/>
          <cell r="CO29"/>
        </row>
        <row r="30">
          <cell r="C30">
            <v>589</v>
          </cell>
          <cell r="D30" t="str">
            <v>MB250878A</v>
          </cell>
          <cell r="E30" t="str">
            <v xml:space="preserve"> PANEL,RR END,INR UPR RH삭제</v>
          </cell>
          <cell r="H30">
            <v>1</v>
          </cell>
          <cell r="I30">
            <v>1</v>
          </cell>
          <cell r="R30">
            <v>1</v>
          </cell>
          <cell r="AB30">
            <v>1</v>
          </cell>
          <cell r="AC30">
            <v>1</v>
          </cell>
          <cell r="AF30">
            <v>1</v>
          </cell>
          <cell r="AG30">
            <v>1</v>
          </cell>
          <cell r="AH30"/>
          <cell r="AI30"/>
          <cell r="AJ30"/>
          <cell r="AK30"/>
          <cell r="AL30"/>
          <cell r="AM30"/>
          <cell r="AN30"/>
          <cell r="AO30"/>
          <cell r="AP30"/>
          <cell r="AQ30"/>
          <cell r="AR30"/>
          <cell r="AS30"/>
          <cell r="AT30"/>
          <cell r="AU30"/>
          <cell r="AV30"/>
          <cell r="AW30"/>
          <cell r="AX30"/>
          <cell r="AY30"/>
          <cell r="AZ30" t="str">
            <v>B</v>
          </cell>
          <cell r="BA30" t="str">
            <v>세명금속</v>
          </cell>
          <cell r="BB30" t="str">
            <v>H50A17K</v>
          </cell>
          <cell r="BC30" t="str">
            <v>MB591376A,K/UPJB#1</v>
          </cell>
          <cell r="BD30" t="str">
            <v>F716</v>
          </cell>
          <cell r="BE30" t="str">
            <v>S/B</v>
          </cell>
          <cell r="BF30"/>
          <cell r="BG30"/>
          <cell r="BH30"/>
          <cell r="BI30">
            <v>20</v>
          </cell>
          <cell r="BJ30">
            <v>539</v>
          </cell>
          <cell r="BK30">
            <v>0</v>
          </cell>
          <cell r="BL30">
            <v>0</v>
          </cell>
          <cell r="BM30"/>
          <cell r="BN30"/>
          <cell r="BO30">
            <v>0</v>
          </cell>
          <cell r="BP30"/>
          <cell r="BQ30"/>
          <cell r="BR30"/>
          <cell r="BS30"/>
          <cell r="BT30"/>
          <cell r="BU30"/>
          <cell r="BV30"/>
          <cell r="BW30"/>
          <cell r="BX30"/>
          <cell r="BY30"/>
          <cell r="BZ30"/>
          <cell r="CA30"/>
          <cell r="CB30"/>
          <cell r="CC30"/>
          <cell r="CD30"/>
          <cell r="CE30"/>
          <cell r="CF30"/>
          <cell r="CG30"/>
          <cell r="CH30"/>
          <cell r="CI30"/>
          <cell r="CJ30"/>
          <cell r="CK30"/>
          <cell r="CL30"/>
          <cell r="CM30"/>
          <cell r="CN30"/>
          <cell r="CO30"/>
        </row>
        <row r="31">
          <cell r="C31">
            <v>1892</v>
          </cell>
          <cell r="D31" t="str">
            <v>MB275061A</v>
          </cell>
          <cell r="E31" t="str">
            <v xml:space="preserve"> PLATE,CTR PILLAR LH</v>
          </cell>
          <cell r="I31">
            <v>1</v>
          </cell>
          <cell r="J31">
            <v>1</v>
          </cell>
          <cell r="K31">
            <v>1</v>
          </cell>
          <cell r="O31">
            <v>1</v>
          </cell>
          <cell r="Q31">
            <v>1</v>
          </cell>
          <cell r="S31">
            <v>1</v>
          </cell>
          <cell r="T31">
            <v>1</v>
          </cell>
          <cell r="V31">
            <v>1</v>
          </cell>
          <cell r="X31">
            <v>1</v>
          </cell>
          <cell r="Y31">
            <v>1</v>
          </cell>
          <cell r="Z31">
            <v>1</v>
          </cell>
          <cell r="AA31">
            <v>1</v>
          </cell>
          <cell r="AE31">
            <v>1</v>
          </cell>
          <cell r="AG31">
            <v>1</v>
          </cell>
          <cell r="AI31">
            <v>1</v>
          </cell>
          <cell r="AJ31">
            <v>1</v>
          </cell>
          <cell r="AK31">
            <v>1</v>
          </cell>
          <cell r="AQ31">
            <v>1</v>
          </cell>
          <cell r="AR31">
            <v>1</v>
          </cell>
          <cell r="AS31">
            <v>1</v>
          </cell>
          <cell r="AT31">
            <v>1</v>
          </cell>
          <cell r="AU31">
            <v>1</v>
          </cell>
          <cell r="AV31">
            <v>1</v>
          </cell>
          <cell r="AX31">
            <v>1</v>
          </cell>
          <cell r="AY31">
            <v>1</v>
          </cell>
          <cell r="AZ31" t="str">
            <v>B</v>
          </cell>
          <cell r="BA31" t="str">
            <v>세명금속</v>
          </cell>
          <cell r="BB31" t="str">
            <v>H50A17K</v>
          </cell>
          <cell r="BD31" t="str">
            <v>F716</v>
          </cell>
          <cell r="BI31">
            <v>888</v>
          </cell>
          <cell r="BJ31">
            <v>458</v>
          </cell>
          <cell r="BK31">
            <v>90</v>
          </cell>
          <cell r="BL31">
            <v>100</v>
          </cell>
          <cell r="BM31"/>
          <cell r="BN31"/>
          <cell r="BO31">
            <v>0</v>
          </cell>
          <cell r="BP31"/>
          <cell r="BQ31"/>
          <cell r="BR31"/>
          <cell r="BS31"/>
          <cell r="BT31"/>
          <cell r="BU31"/>
          <cell r="BV31"/>
          <cell r="BW31"/>
          <cell r="BX31"/>
          <cell r="BY31"/>
          <cell r="BZ31"/>
          <cell r="CA31"/>
          <cell r="CB31"/>
          <cell r="CC31"/>
          <cell r="CD31"/>
          <cell r="CE31"/>
          <cell r="CF31"/>
          <cell r="CG31"/>
          <cell r="CH31"/>
          <cell r="CI31"/>
          <cell r="CJ31"/>
          <cell r="CK31"/>
          <cell r="CL31"/>
          <cell r="CM31"/>
          <cell r="CN31"/>
          <cell r="CO31"/>
          <cell r="CP31"/>
          <cell r="CQ31"/>
        </row>
        <row r="32">
          <cell r="C32">
            <v>1892</v>
          </cell>
          <cell r="D32" t="str">
            <v>MB275062</v>
          </cell>
          <cell r="E32" t="str">
            <v xml:space="preserve"> PLATE,CTR PILLAR RH</v>
          </cell>
          <cell r="I32">
            <v>1</v>
          </cell>
          <cell r="J32">
            <v>1</v>
          </cell>
          <cell r="K32">
            <v>1</v>
          </cell>
          <cell r="O32">
            <v>1</v>
          </cell>
          <cell r="Q32">
            <v>1</v>
          </cell>
          <cell r="S32">
            <v>1</v>
          </cell>
          <cell r="T32">
            <v>1</v>
          </cell>
          <cell r="V32">
            <v>1</v>
          </cell>
          <cell r="X32">
            <v>1</v>
          </cell>
          <cell r="Y32">
            <v>1</v>
          </cell>
          <cell r="Z32">
            <v>1</v>
          </cell>
          <cell r="AA32">
            <v>1</v>
          </cell>
          <cell r="AE32">
            <v>1</v>
          </cell>
          <cell r="AG32">
            <v>1</v>
          </cell>
          <cell r="AI32">
            <v>1</v>
          </cell>
          <cell r="AJ32">
            <v>1</v>
          </cell>
          <cell r="AK32">
            <v>1</v>
          </cell>
          <cell r="AQ32">
            <v>1</v>
          </cell>
          <cell r="AR32">
            <v>1</v>
          </cell>
          <cell r="AS32">
            <v>1</v>
          </cell>
          <cell r="AT32">
            <v>1</v>
          </cell>
          <cell r="AU32">
            <v>1</v>
          </cell>
          <cell r="AV32">
            <v>1</v>
          </cell>
          <cell r="AX32">
            <v>1</v>
          </cell>
          <cell r="AY32">
            <v>1</v>
          </cell>
          <cell r="AZ32" t="str">
            <v>B</v>
          </cell>
          <cell r="BA32" t="str">
            <v>세명금속</v>
          </cell>
          <cell r="BB32" t="str">
            <v>H50A17K</v>
          </cell>
          <cell r="BD32" t="str">
            <v>F716</v>
          </cell>
          <cell r="BI32">
            <v>888</v>
          </cell>
          <cell r="BJ32">
            <v>458</v>
          </cell>
          <cell r="BK32">
            <v>90</v>
          </cell>
          <cell r="BL32">
            <v>100</v>
          </cell>
          <cell r="BM32"/>
          <cell r="BN32"/>
          <cell r="BO32">
            <v>0</v>
          </cell>
          <cell r="BP32"/>
          <cell r="BQ32"/>
          <cell r="BR32"/>
          <cell r="BS32"/>
          <cell r="BT32"/>
          <cell r="BU32"/>
          <cell r="BV32"/>
          <cell r="BW32"/>
          <cell r="BX32"/>
          <cell r="BY32"/>
          <cell r="BZ32"/>
          <cell r="CA32"/>
          <cell r="CB32"/>
          <cell r="CC32"/>
          <cell r="CD32"/>
          <cell r="CE32"/>
          <cell r="CF32"/>
          <cell r="CG32"/>
          <cell r="CH32"/>
          <cell r="CI32"/>
          <cell r="CJ32"/>
          <cell r="CK32"/>
          <cell r="CL32"/>
          <cell r="CM32"/>
          <cell r="CN32"/>
          <cell r="CO32"/>
          <cell r="CP32"/>
          <cell r="CQ32"/>
        </row>
        <row r="33">
          <cell r="C33">
            <v>2584</v>
          </cell>
          <cell r="D33" t="str">
            <v>MB275390A</v>
          </cell>
          <cell r="E33" t="str">
            <v xml:space="preserve"> PANEL,GRILLE FILLER</v>
          </cell>
          <cell r="H33">
            <v>1</v>
          </cell>
          <cell r="I33">
            <v>1</v>
          </cell>
          <cell r="J33">
            <v>1</v>
          </cell>
          <cell r="K33">
            <v>1</v>
          </cell>
          <cell r="L33">
            <v>1</v>
          </cell>
          <cell r="M33">
            <v>1</v>
          </cell>
          <cell r="N33">
            <v>1</v>
          </cell>
          <cell r="O33">
            <v>1</v>
          </cell>
          <cell r="P33">
            <v>1</v>
          </cell>
          <cell r="Q33">
            <v>1</v>
          </cell>
          <cell r="R33">
            <v>1</v>
          </cell>
          <cell r="S33">
            <v>1</v>
          </cell>
          <cell r="T33">
            <v>1</v>
          </cell>
          <cell r="U33">
            <v>1</v>
          </cell>
          <cell r="V33">
            <v>1</v>
          </cell>
          <cell r="W33">
            <v>1</v>
          </cell>
          <cell r="X33">
            <v>1</v>
          </cell>
          <cell r="Y33">
            <v>1</v>
          </cell>
          <cell r="Z33">
            <v>1</v>
          </cell>
          <cell r="AA33">
            <v>1</v>
          </cell>
          <cell r="AB33">
            <v>1</v>
          </cell>
          <cell r="AC33">
            <v>1</v>
          </cell>
          <cell r="AD33">
            <v>1</v>
          </cell>
          <cell r="AE33">
            <v>1</v>
          </cell>
          <cell r="AF33">
            <v>1</v>
          </cell>
          <cell r="AG33">
            <v>1</v>
          </cell>
          <cell r="AH33">
            <v>1</v>
          </cell>
          <cell r="AI33">
            <v>1</v>
          </cell>
          <cell r="AJ33">
            <v>1</v>
          </cell>
          <cell r="AK33">
            <v>1</v>
          </cell>
          <cell r="AL33">
            <v>1</v>
          </cell>
          <cell r="AM33">
            <v>1</v>
          </cell>
          <cell r="AN33">
            <v>1</v>
          </cell>
          <cell r="AO33">
            <v>1</v>
          </cell>
          <cell r="AQ33">
            <v>1</v>
          </cell>
          <cell r="AR33">
            <v>1</v>
          </cell>
          <cell r="AS33">
            <v>1</v>
          </cell>
          <cell r="AU33">
            <v>1</v>
          </cell>
          <cell r="AV33">
            <v>1</v>
          </cell>
          <cell r="AW33">
            <v>1</v>
          </cell>
          <cell r="AX33">
            <v>1</v>
          </cell>
          <cell r="AY33">
            <v>1</v>
          </cell>
          <cell r="AZ33" t="str">
            <v>B</v>
          </cell>
          <cell r="BA33" t="str">
            <v>세명금속</v>
          </cell>
          <cell r="BB33" t="str">
            <v>H50C39K</v>
          </cell>
          <cell r="BD33" t="str">
            <v>F716</v>
          </cell>
          <cell r="BE33" t="str">
            <v>ALL</v>
          </cell>
          <cell r="BI33">
            <v>937</v>
          </cell>
          <cell r="BJ33">
            <v>997</v>
          </cell>
          <cell r="BK33">
            <v>118</v>
          </cell>
          <cell r="BL33">
            <v>102</v>
          </cell>
          <cell r="BM33"/>
          <cell r="BN33"/>
          <cell r="BO33">
            <v>0</v>
          </cell>
          <cell r="BP33"/>
          <cell r="BQ33"/>
          <cell r="BR33"/>
          <cell r="BS33"/>
          <cell r="BT33"/>
          <cell r="BU33"/>
          <cell r="BV33"/>
          <cell r="BW33"/>
          <cell r="BX33"/>
          <cell r="BY33"/>
          <cell r="BZ33"/>
          <cell r="CA33"/>
          <cell r="CB33"/>
          <cell r="CC33"/>
          <cell r="CD33"/>
          <cell r="CE33"/>
          <cell r="CF33"/>
          <cell r="CG33"/>
          <cell r="CH33"/>
          <cell r="CI33"/>
          <cell r="CJ33"/>
          <cell r="CK33"/>
        </row>
        <row r="34">
          <cell r="C34">
            <v>1995</v>
          </cell>
          <cell r="D34" t="str">
            <v>MB591375A</v>
          </cell>
          <cell r="E34" t="str">
            <v xml:space="preserve"> PANEL,RR END INR UPR LH</v>
          </cell>
          <cell r="J34">
            <v>1</v>
          </cell>
          <cell r="K34">
            <v>1</v>
          </cell>
          <cell r="L34">
            <v>1</v>
          </cell>
          <cell r="M34">
            <v>1</v>
          </cell>
          <cell r="N34">
            <v>1</v>
          </cell>
          <cell r="O34">
            <v>1</v>
          </cell>
          <cell r="P34">
            <v>1</v>
          </cell>
          <cell r="Q34">
            <v>1</v>
          </cell>
          <cell r="S34">
            <v>1</v>
          </cell>
          <cell r="T34">
            <v>1</v>
          </cell>
          <cell r="U34">
            <v>1</v>
          </cell>
          <cell r="V34">
            <v>1</v>
          </cell>
          <cell r="W34">
            <v>1</v>
          </cell>
          <cell r="X34">
            <v>1</v>
          </cell>
          <cell r="Y34">
            <v>1</v>
          </cell>
          <cell r="Z34">
            <v>1</v>
          </cell>
          <cell r="AA34">
            <v>1</v>
          </cell>
          <cell r="AD34">
            <v>1</v>
          </cell>
          <cell r="AE34">
            <v>1</v>
          </cell>
          <cell r="AH34">
            <v>1</v>
          </cell>
          <cell r="AI34">
            <v>1</v>
          </cell>
          <cell r="AJ34">
            <v>1</v>
          </cell>
          <cell r="AK34">
            <v>1</v>
          </cell>
          <cell r="AL34">
            <v>1</v>
          </cell>
          <cell r="AM34">
            <v>1</v>
          </cell>
          <cell r="AN34">
            <v>1</v>
          </cell>
          <cell r="AO34">
            <v>1</v>
          </cell>
          <cell r="AP34">
            <v>1</v>
          </cell>
          <cell r="AQ34">
            <v>1</v>
          </cell>
          <cell r="AR34">
            <v>1</v>
          </cell>
          <cell r="AS34">
            <v>1</v>
          </cell>
          <cell r="AT34">
            <v>1</v>
          </cell>
          <cell r="AU34">
            <v>1</v>
          </cell>
          <cell r="AV34">
            <v>1</v>
          </cell>
          <cell r="AW34">
            <v>1</v>
          </cell>
          <cell r="AX34">
            <v>1</v>
          </cell>
          <cell r="AY34">
            <v>1</v>
          </cell>
          <cell r="AZ34" t="str">
            <v>B</v>
          </cell>
          <cell r="BA34" t="str">
            <v>세명금속</v>
          </cell>
          <cell r="BB34" t="str">
            <v>H50A17K</v>
          </cell>
          <cell r="BC34" t="str">
            <v>MB250877A-S/B,STD</v>
          </cell>
          <cell r="BD34" t="str">
            <v>F716</v>
          </cell>
          <cell r="BE34" t="str">
            <v>ALL</v>
          </cell>
          <cell r="BI34">
            <v>917</v>
          </cell>
          <cell r="BJ34">
            <v>458</v>
          </cell>
          <cell r="BK34">
            <v>118</v>
          </cell>
          <cell r="BL34">
            <v>102</v>
          </cell>
          <cell r="BM34"/>
          <cell r="BN34"/>
          <cell r="BO34">
            <v>0</v>
          </cell>
          <cell r="BP34"/>
          <cell r="BQ34"/>
          <cell r="BR34"/>
          <cell r="BS34"/>
          <cell r="BT34"/>
          <cell r="BU34"/>
          <cell r="BV34"/>
          <cell r="BW34"/>
          <cell r="BX34"/>
          <cell r="BY34"/>
          <cell r="BZ34"/>
          <cell r="CA34"/>
          <cell r="CB34"/>
          <cell r="CC34"/>
          <cell r="CD34"/>
          <cell r="CE34"/>
          <cell r="CF34"/>
          <cell r="CG34"/>
          <cell r="CH34"/>
          <cell r="CI34"/>
          <cell r="CJ34"/>
          <cell r="CK34"/>
          <cell r="CL34"/>
          <cell r="CM34"/>
          <cell r="CN34"/>
          <cell r="CO34"/>
          <cell r="CP34"/>
          <cell r="CQ34"/>
        </row>
        <row r="35">
          <cell r="C35">
            <v>1995</v>
          </cell>
          <cell r="D35" t="str">
            <v>MB591376A</v>
          </cell>
          <cell r="E35" t="str">
            <v xml:space="preserve"> PANEL,RR END,INR UPR RH</v>
          </cell>
          <cell r="J35">
            <v>1</v>
          </cell>
          <cell r="K35">
            <v>1</v>
          </cell>
          <cell r="L35">
            <v>1</v>
          </cell>
          <cell r="M35">
            <v>1</v>
          </cell>
          <cell r="N35">
            <v>1</v>
          </cell>
          <cell r="O35">
            <v>1</v>
          </cell>
          <cell r="P35">
            <v>1</v>
          </cell>
          <cell r="Q35">
            <v>1</v>
          </cell>
          <cell r="S35">
            <v>1</v>
          </cell>
          <cell r="T35">
            <v>1</v>
          </cell>
          <cell r="U35">
            <v>1</v>
          </cell>
          <cell r="V35">
            <v>1</v>
          </cell>
          <cell r="W35">
            <v>1</v>
          </cell>
          <cell r="X35">
            <v>1</v>
          </cell>
          <cell r="Y35">
            <v>1</v>
          </cell>
          <cell r="Z35">
            <v>1</v>
          </cell>
          <cell r="AA35">
            <v>1</v>
          </cell>
          <cell r="AD35">
            <v>1</v>
          </cell>
          <cell r="AE35">
            <v>1</v>
          </cell>
          <cell r="AH35">
            <v>1</v>
          </cell>
          <cell r="AI35">
            <v>1</v>
          </cell>
          <cell r="AJ35">
            <v>1</v>
          </cell>
          <cell r="AK35">
            <v>1</v>
          </cell>
          <cell r="AL35">
            <v>1</v>
          </cell>
          <cell r="AM35">
            <v>1</v>
          </cell>
          <cell r="AN35">
            <v>1</v>
          </cell>
          <cell r="AO35">
            <v>1</v>
          </cell>
          <cell r="AP35">
            <v>1</v>
          </cell>
          <cell r="AQ35">
            <v>1</v>
          </cell>
          <cell r="AR35">
            <v>1</v>
          </cell>
          <cell r="AS35">
            <v>1</v>
          </cell>
          <cell r="AT35">
            <v>1</v>
          </cell>
          <cell r="AU35">
            <v>1</v>
          </cell>
          <cell r="AV35">
            <v>1</v>
          </cell>
          <cell r="AW35">
            <v>1</v>
          </cell>
          <cell r="AX35">
            <v>1</v>
          </cell>
          <cell r="AY35">
            <v>1</v>
          </cell>
          <cell r="AZ35" t="str">
            <v>B</v>
          </cell>
          <cell r="BA35" t="str">
            <v>세명금속</v>
          </cell>
          <cell r="BB35" t="str">
            <v>H50A17K</v>
          </cell>
          <cell r="BC35" t="str">
            <v>MB250878A-S/B,STD</v>
          </cell>
          <cell r="BD35" t="str">
            <v>F716</v>
          </cell>
          <cell r="BE35" t="str">
            <v>ALL</v>
          </cell>
          <cell r="BI35">
            <v>917</v>
          </cell>
          <cell r="BJ35">
            <v>458</v>
          </cell>
          <cell r="BK35">
            <v>118</v>
          </cell>
          <cell r="BL35">
            <v>102</v>
          </cell>
          <cell r="BM35"/>
          <cell r="BN35"/>
          <cell r="BO35">
            <v>0</v>
          </cell>
          <cell r="BP35"/>
          <cell r="BQ35"/>
          <cell r="BR35"/>
          <cell r="BS35"/>
          <cell r="BT35"/>
          <cell r="BU35"/>
          <cell r="BV35"/>
          <cell r="BW35"/>
          <cell r="BX35"/>
          <cell r="BY35"/>
          <cell r="BZ35"/>
          <cell r="CA35"/>
          <cell r="CB35"/>
          <cell r="CC35"/>
          <cell r="CD35"/>
          <cell r="CE35"/>
          <cell r="CF35"/>
          <cell r="CG35"/>
          <cell r="CH35"/>
          <cell r="CI35"/>
          <cell r="CJ35"/>
          <cell r="CK35"/>
          <cell r="CL35"/>
          <cell r="CM35"/>
          <cell r="CN35"/>
          <cell r="CO35"/>
          <cell r="CP35"/>
          <cell r="CQ35"/>
        </row>
        <row r="36">
          <cell r="C36">
            <v>130</v>
          </cell>
          <cell r="D36" t="str">
            <v>MB591493A</v>
          </cell>
          <cell r="E36" t="str">
            <v xml:space="preserve"> PANEL ASS'Y,COWL TOP,FR</v>
          </cell>
          <cell r="W36">
            <v>1</v>
          </cell>
          <cell r="X36">
            <v>1</v>
          </cell>
          <cell r="AE36">
            <v>1</v>
          </cell>
          <cell r="AH36">
            <v>1</v>
          </cell>
          <cell r="AI36">
            <v>1</v>
          </cell>
          <cell r="AN36">
            <v>1</v>
          </cell>
          <cell r="AP36">
            <v>1</v>
          </cell>
          <cell r="AR36">
            <v>1</v>
          </cell>
          <cell r="AT36">
            <v>1</v>
          </cell>
          <cell r="AW36">
            <v>1</v>
          </cell>
          <cell r="AY36">
            <v>1</v>
          </cell>
          <cell r="AZ36" t="str">
            <v>B</v>
          </cell>
          <cell r="BA36" t="str">
            <v>세명금속</v>
          </cell>
          <cell r="BB36" t="str">
            <v>H50A18K</v>
          </cell>
          <cell r="BD36" t="str">
            <v>F716</v>
          </cell>
          <cell r="BE36" t="str">
            <v>V6</v>
          </cell>
          <cell r="BI36">
            <v>0</v>
          </cell>
          <cell r="BJ36">
            <v>2</v>
          </cell>
          <cell r="BK36">
            <v>60</v>
          </cell>
          <cell r="BL36">
            <v>46</v>
          </cell>
          <cell r="BM36"/>
          <cell r="BN36"/>
          <cell r="BO36">
            <v>0</v>
          </cell>
          <cell r="BP36"/>
          <cell r="BQ36"/>
          <cell r="BR36"/>
          <cell r="BS36"/>
          <cell r="BT36"/>
          <cell r="BU36"/>
          <cell r="BV36"/>
          <cell r="BW36"/>
          <cell r="BX36"/>
          <cell r="BY36"/>
          <cell r="BZ36"/>
          <cell r="CA36"/>
          <cell r="CB36"/>
          <cell r="CC36"/>
          <cell r="CD36"/>
          <cell r="CE36"/>
          <cell r="CF36"/>
          <cell r="CG36"/>
          <cell r="CH36"/>
          <cell r="CI36"/>
          <cell r="CJ36"/>
          <cell r="CK36"/>
          <cell r="CL36"/>
          <cell r="CM36"/>
          <cell r="CN36"/>
          <cell r="CO36"/>
          <cell r="CP36"/>
          <cell r="CQ36"/>
        </row>
        <row r="37">
          <cell r="C37">
            <v>692</v>
          </cell>
          <cell r="D37" t="str">
            <v>MB591633B</v>
          </cell>
          <cell r="E37" t="str">
            <v xml:space="preserve"> SILL,SIDE INR FRT LH</v>
          </cell>
          <cell r="H37">
            <v>1</v>
          </cell>
          <cell r="L37">
            <v>1</v>
          </cell>
          <cell r="M37">
            <v>1</v>
          </cell>
          <cell r="N37">
            <v>1</v>
          </cell>
          <cell r="P37">
            <v>1</v>
          </cell>
          <cell r="R37">
            <v>1</v>
          </cell>
          <cell r="U37">
            <v>1</v>
          </cell>
          <cell r="W37">
            <v>1</v>
          </cell>
          <cell r="AB37">
            <v>1</v>
          </cell>
          <cell r="AC37">
            <v>1</v>
          </cell>
          <cell r="AD37">
            <v>1</v>
          </cell>
          <cell r="AF37">
            <v>1</v>
          </cell>
          <cell r="AG37"/>
          <cell r="AH37">
            <v>1</v>
          </cell>
          <cell r="AI37"/>
          <cell r="AJ37"/>
          <cell r="AK37"/>
          <cell r="AL37">
            <v>1</v>
          </cell>
          <cell r="AM37">
            <v>1</v>
          </cell>
          <cell r="AN37">
            <v>1</v>
          </cell>
          <cell r="AO37">
            <v>1</v>
          </cell>
          <cell r="AP37">
            <v>1</v>
          </cell>
          <cell r="AQ37"/>
          <cell r="AR37"/>
          <cell r="AS37"/>
          <cell r="AT37"/>
          <cell r="AU37"/>
          <cell r="AV37"/>
          <cell r="AW37">
            <v>1</v>
          </cell>
          <cell r="AX37"/>
          <cell r="AY37"/>
          <cell r="AZ37" t="str">
            <v>B</v>
          </cell>
          <cell r="BA37" t="str">
            <v>세명금속</v>
          </cell>
          <cell r="BB37" t="str">
            <v>H50A11K</v>
          </cell>
          <cell r="BC37"/>
          <cell r="BD37" t="str">
            <v>F716</v>
          </cell>
          <cell r="BE37" t="str">
            <v>S/B</v>
          </cell>
          <cell r="BF37"/>
          <cell r="BG37"/>
          <cell r="BH37"/>
          <cell r="BI37">
            <v>49</v>
          </cell>
          <cell r="BJ37">
            <v>539</v>
          </cell>
          <cell r="BK37">
            <v>28</v>
          </cell>
          <cell r="BL37">
            <v>2</v>
          </cell>
          <cell r="BM37"/>
          <cell r="BN37"/>
          <cell r="BO37">
            <v>0</v>
          </cell>
          <cell r="BP37"/>
          <cell r="BQ37"/>
          <cell r="BR37"/>
          <cell r="BS37"/>
          <cell r="BT37"/>
          <cell r="BU37"/>
          <cell r="BV37"/>
          <cell r="BW37"/>
          <cell r="BX37"/>
          <cell r="BY37"/>
          <cell r="BZ37"/>
          <cell r="CA37"/>
          <cell r="CB37"/>
          <cell r="CC37"/>
          <cell r="CD37"/>
          <cell r="CE37"/>
          <cell r="CF37"/>
          <cell r="CG37"/>
          <cell r="CH37"/>
          <cell r="CI37"/>
          <cell r="CJ37"/>
          <cell r="CK37"/>
          <cell r="CL37"/>
          <cell r="CM37"/>
          <cell r="CN37"/>
          <cell r="CO37"/>
          <cell r="CP37"/>
        </row>
        <row r="38">
          <cell r="C38">
            <v>692</v>
          </cell>
          <cell r="D38" t="str">
            <v>MB591634B</v>
          </cell>
          <cell r="E38" t="str">
            <v xml:space="preserve"> SILL,SIDE INR FRT RH</v>
          </cell>
          <cell r="H38">
            <v>1</v>
          </cell>
          <cell r="L38">
            <v>1</v>
          </cell>
          <cell r="M38">
            <v>1</v>
          </cell>
          <cell r="N38">
            <v>1</v>
          </cell>
          <cell r="P38">
            <v>1</v>
          </cell>
          <cell r="R38">
            <v>1</v>
          </cell>
          <cell r="U38">
            <v>1</v>
          </cell>
          <cell r="W38">
            <v>1</v>
          </cell>
          <cell r="AB38">
            <v>1</v>
          </cell>
          <cell r="AC38">
            <v>1</v>
          </cell>
          <cell r="AD38">
            <v>1</v>
          </cell>
          <cell r="AF38">
            <v>1</v>
          </cell>
          <cell r="AG38"/>
          <cell r="AH38">
            <v>1</v>
          </cell>
          <cell r="AI38"/>
          <cell r="AJ38"/>
          <cell r="AK38"/>
          <cell r="AL38">
            <v>1</v>
          </cell>
          <cell r="AM38">
            <v>1</v>
          </cell>
          <cell r="AN38">
            <v>1</v>
          </cell>
          <cell r="AO38">
            <v>1</v>
          </cell>
          <cell r="AP38">
            <v>1</v>
          </cell>
          <cell r="AQ38"/>
          <cell r="AR38"/>
          <cell r="AS38"/>
          <cell r="AT38"/>
          <cell r="AU38"/>
          <cell r="AV38"/>
          <cell r="AW38">
            <v>1</v>
          </cell>
          <cell r="AX38"/>
          <cell r="AY38"/>
          <cell r="AZ38" t="str">
            <v>B</v>
          </cell>
          <cell r="BA38" t="str">
            <v>세명금속</v>
          </cell>
          <cell r="BB38" t="str">
            <v>H50A11K</v>
          </cell>
          <cell r="BC38"/>
          <cell r="BD38" t="str">
            <v>F716</v>
          </cell>
          <cell r="BE38" t="str">
            <v>S/B</v>
          </cell>
          <cell r="BF38"/>
          <cell r="BG38"/>
          <cell r="BH38"/>
          <cell r="BI38">
            <v>49</v>
          </cell>
          <cell r="BJ38">
            <v>539</v>
          </cell>
          <cell r="BK38">
            <v>28</v>
          </cell>
          <cell r="BL38">
            <v>2</v>
          </cell>
          <cell r="BM38"/>
          <cell r="BN38"/>
          <cell r="BO38">
            <v>0</v>
          </cell>
          <cell r="BP38"/>
          <cell r="BQ38"/>
          <cell r="BR38"/>
          <cell r="BS38"/>
          <cell r="BT38"/>
          <cell r="BU38"/>
          <cell r="BV38"/>
          <cell r="BW38"/>
          <cell r="BX38"/>
          <cell r="BY38"/>
          <cell r="BZ38"/>
          <cell r="CA38"/>
          <cell r="CB38"/>
          <cell r="CC38"/>
          <cell r="CD38"/>
          <cell r="CE38"/>
          <cell r="CF38"/>
          <cell r="CG38"/>
          <cell r="CH38"/>
          <cell r="CI38"/>
          <cell r="CJ38"/>
          <cell r="CK38"/>
          <cell r="CL38"/>
          <cell r="CM38"/>
          <cell r="CN38"/>
          <cell r="CO38"/>
          <cell r="CP38"/>
        </row>
        <row r="39">
          <cell r="C39">
            <v>1776</v>
          </cell>
          <cell r="D39" t="str">
            <v>HC000045</v>
          </cell>
          <cell r="E39" t="str">
            <v xml:space="preserve"> EXT,RR FLOOR ASSY</v>
          </cell>
          <cell r="F39" t="str">
            <v>DSL L/B</v>
          </cell>
          <cell r="I39">
            <v>1</v>
          </cell>
          <cell r="J39">
            <v>1</v>
          </cell>
          <cell r="K39">
            <v>1</v>
          </cell>
          <cell r="O39">
            <v>1</v>
          </cell>
          <cell r="Q39">
            <v>1</v>
          </cell>
          <cell r="S39">
            <v>1</v>
          </cell>
          <cell r="T39">
            <v>1</v>
          </cell>
          <cell r="V39">
            <v>1</v>
          </cell>
          <cell r="Y39">
            <v>1</v>
          </cell>
          <cell r="Z39">
            <v>1</v>
          </cell>
          <cell r="AA39">
            <v>1</v>
          </cell>
          <cell r="AG39">
            <v>1</v>
          </cell>
          <cell r="AJ39">
            <v>1</v>
          </cell>
          <cell r="AK39">
            <v>1</v>
          </cell>
          <cell r="AQ39">
            <v>1</v>
          </cell>
          <cell r="AS39">
            <v>1</v>
          </cell>
          <cell r="AU39">
            <v>1</v>
          </cell>
          <cell r="AV39">
            <v>1</v>
          </cell>
          <cell r="AX39">
            <v>1</v>
          </cell>
          <cell r="AZ39" t="str">
            <v>B</v>
          </cell>
          <cell r="BA39" t="str">
            <v>신아금속</v>
          </cell>
          <cell r="BB39" t="str">
            <v>H50A11K01-8,12^17,63</v>
          </cell>
          <cell r="BD39" t="str">
            <v>K591</v>
          </cell>
          <cell r="BI39">
            <v>888</v>
          </cell>
          <cell r="BJ39">
            <v>456</v>
          </cell>
          <cell r="BK39">
            <v>37</v>
          </cell>
          <cell r="BL39">
            <v>56</v>
          </cell>
          <cell r="BM39"/>
          <cell r="BN39"/>
          <cell r="BO39">
            <v>0</v>
          </cell>
          <cell r="BP39"/>
          <cell r="BQ39"/>
          <cell r="BR39"/>
          <cell r="BS39"/>
          <cell r="BT39"/>
          <cell r="BU39"/>
          <cell r="BV39"/>
          <cell r="BW39"/>
          <cell r="BX39"/>
          <cell r="BY39"/>
          <cell r="BZ39"/>
          <cell r="CA39"/>
          <cell r="CB39"/>
          <cell r="CC39"/>
          <cell r="CD39"/>
          <cell r="CE39"/>
          <cell r="CF39"/>
          <cell r="CG39"/>
          <cell r="CH39"/>
          <cell r="CI39"/>
          <cell r="CJ39"/>
          <cell r="CK39"/>
          <cell r="CL39"/>
          <cell r="CM39"/>
        </row>
        <row r="40">
          <cell r="C40">
            <v>116</v>
          </cell>
          <cell r="D40" t="str">
            <v>HC000046</v>
          </cell>
          <cell r="E40" t="str">
            <v xml:space="preserve"> EXT,RR FLOOR ASSY</v>
          </cell>
          <cell r="F40" t="str">
            <v>V6 L/B</v>
          </cell>
          <cell r="X40">
            <v>1</v>
          </cell>
          <cell r="AE40">
            <v>1</v>
          </cell>
          <cell r="AI40">
            <v>1</v>
          </cell>
          <cell r="AR40">
            <v>1</v>
          </cell>
          <cell r="AT40">
            <v>1</v>
          </cell>
          <cell r="AY40">
            <v>1</v>
          </cell>
          <cell r="AZ40" t="str">
            <v>B</v>
          </cell>
          <cell r="BA40" t="str">
            <v>신아금속</v>
          </cell>
          <cell r="BB40" t="str">
            <v>H50A11K</v>
          </cell>
          <cell r="BD40" t="str">
            <v>K591</v>
          </cell>
          <cell r="BE40" t="str">
            <v>6</v>
          </cell>
          <cell r="BI40">
            <v>0</v>
          </cell>
          <cell r="BJ40">
            <v>2</v>
          </cell>
          <cell r="BK40">
            <v>53</v>
          </cell>
          <cell r="BL40">
            <v>44</v>
          </cell>
          <cell r="BM40"/>
          <cell r="BN40"/>
          <cell r="BO40">
            <v>0</v>
          </cell>
          <cell r="BP40"/>
          <cell r="BQ40"/>
          <cell r="BR40"/>
          <cell r="BS40"/>
          <cell r="BT40"/>
          <cell r="BU40"/>
          <cell r="BV40"/>
          <cell r="BW40"/>
          <cell r="BX40"/>
          <cell r="BY40"/>
          <cell r="BZ40"/>
          <cell r="CA40"/>
          <cell r="CB40"/>
          <cell r="CC40"/>
          <cell r="CD40"/>
          <cell r="CE40"/>
          <cell r="CF40"/>
          <cell r="CG40"/>
          <cell r="CH40"/>
          <cell r="CI40"/>
          <cell r="CJ40"/>
          <cell r="CK40"/>
          <cell r="CL40"/>
          <cell r="CM40"/>
          <cell r="CN40"/>
          <cell r="CO40"/>
          <cell r="CP40"/>
          <cell r="CQ40"/>
        </row>
        <row r="41">
          <cell r="C41">
            <v>2584</v>
          </cell>
          <cell r="D41" t="str">
            <v>HC000076</v>
          </cell>
          <cell r="E41" t="str">
            <v xml:space="preserve"> REINF,HINGE ASSY LH</v>
          </cell>
          <cell r="G41">
            <v>1</v>
          </cell>
          <cell r="AZ41" t="str">
            <v>B</v>
          </cell>
          <cell r="BA41" t="str">
            <v>신아금속</v>
          </cell>
          <cell r="BB41" t="str">
            <v>H50A16K</v>
          </cell>
          <cell r="BD41" t="str">
            <v>K591</v>
          </cell>
          <cell r="BE41" t="str">
            <v>ALL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/>
          <cell r="BN41"/>
          <cell r="BO41">
            <v>0</v>
          </cell>
          <cell r="BP41"/>
          <cell r="BQ41"/>
          <cell r="BR41"/>
          <cell r="BS41"/>
          <cell r="BT41"/>
          <cell r="BU41"/>
          <cell r="BV41"/>
          <cell r="BW41"/>
          <cell r="BX41"/>
          <cell r="BY41"/>
          <cell r="BZ41"/>
          <cell r="CA41"/>
          <cell r="CB41"/>
          <cell r="CC41"/>
          <cell r="CD41"/>
          <cell r="CE41"/>
          <cell r="CF41"/>
          <cell r="CG41"/>
          <cell r="CH41"/>
          <cell r="CI41"/>
          <cell r="CJ41"/>
          <cell r="CK41"/>
        </row>
        <row r="42">
          <cell r="C42">
            <v>2584</v>
          </cell>
          <cell r="D42" t="str">
            <v>HC000077</v>
          </cell>
          <cell r="E42" t="str">
            <v xml:space="preserve"> REINF HINGE ASSY RH</v>
          </cell>
          <cell r="G42">
            <v>1</v>
          </cell>
          <cell r="AZ42" t="str">
            <v>B</v>
          </cell>
          <cell r="BA42" t="str">
            <v>신아금속</v>
          </cell>
          <cell r="BB42" t="str">
            <v>H50A16K</v>
          </cell>
          <cell r="BD42" t="str">
            <v>K591</v>
          </cell>
          <cell r="BE42" t="str">
            <v>ALL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/>
          <cell r="BN42"/>
          <cell r="BO42">
            <v>0</v>
          </cell>
          <cell r="BP42"/>
          <cell r="BQ42"/>
          <cell r="BR42"/>
          <cell r="BS42"/>
          <cell r="BT42"/>
          <cell r="BU42"/>
          <cell r="BV42"/>
          <cell r="BW42"/>
          <cell r="BX42"/>
          <cell r="BY42"/>
          <cell r="BZ42"/>
          <cell r="CA42"/>
          <cell r="CB42"/>
          <cell r="CC42"/>
          <cell r="CD42"/>
          <cell r="CE42"/>
          <cell r="CF42"/>
          <cell r="CG42"/>
          <cell r="CH42"/>
          <cell r="CI42"/>
          <cell r="CJ42"/>
          <cell r="CK42"/>
        </row>
        <row r="43">
          <cell r="C43">
            <v>2584</v>
          </cell>
          <cell r="D43" t="str">
            <v>HC000090A</v>
          </cell>
          <cell r="E43" t="str">
            <v xml:space="preserve"> C/MBR,RR FLOOR</v>
          </cell>
          <cell r="F43" t="str">
            <v>-973A</v>
          </cell>
          <cell r="G43">
            <v>1</v>
          </cell>
          <cell r="AZ43" t="str">
            <v>B</v>
          </cell>
          <cell r="BA43" t="str">
            <v>신아금속</v>
          </cell>
          <cell r="BB43" t="str">
            <v>H50A12K</v>
          </cell>
          <cell r="BD43" t="str">
            <v>K591</v>
          </cell>
          <cell r="BE43" t="str">
            <v>ALL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/>
          <cell r="BN43"/>
          <cell r="BO43">
            <v>0</v>
          </cell>
          <cell r="BP43"/>
          <cell r="BQ43"/>
          <cell r="BR43"/>
          <cell r="BS43"/>
          <cell r="BT43"/>
          <cell r="BU43"/>
          <cell r="BV43"/>
          <cell r="BW43"/>
          <cell r="BX43"/>
          <cell r="BY43"/>
          <cell r="BZ43"/>
          <cell r="CA43"/>
          <cell r="CB43"/>
          <cell r="CC43"/>
          <cell r="CD43"/>
          <cell r="CE43"/>
          <cell r="CF43"/>
          <cell r="CG43"/>
          <cell r="CH43"/>
          <cell r="CI43"/>
          <cell r="CJ43"/>
          <cell r="CK43"/>
        </row>
        <row r="44">
          <cell r="C44">
            <v>1062</v>
          </cell>
          <cell r="D44" t="str">
            <v>HC000091</v>
          </cell>
          <cell r="E44" t="str">
            <v xml:space="preserve"> BRKT,PK/BRK,LVR</v>
          </cell>
          <cell r="F44" t="str">
            <v>MB591409생산실적합계</v>
          </cell>
          <cell r="I44">
            <v>1</v>
          </cell>
          <cell r="J44">
            <v>1</v>
          </cell>
          <cell r="K44">
            <v>1</v>
          </cell>
          <cell r="S44">
            <v>1</v>
          </cell>
          <cell r="T44">
            <v>1</v>
          </cell>
          <cell r="AJ44">
            <v>1</v>
          </cell>
          <cell r="AK44">
            <v>1</v>
          </cell>
          <cell r="AQ44">
            <v>1</v>
          </cell>
          <cell r="AU44">
            <v>1</v>
          </cell>
          <cell r="AX44">
            <v>1</v>
          </cell>
          <cell r="AZ44" t="str">
            <v>B</v>
          </cell>
          <cell r="BA44" t="str">
            <v>신아금속</v>
          </cell>
          <cell r="BB44" t="str">
            <v>H50A11K01-3,4,8,15^17</v>
          </cell>
          <cell r="BD44" t="str">
            <v>K591</v>
          </cell>
          <cell r="BI44">
            <v>491</v>
          </cell>
          <cell r="BJ44">
            <v>456</v>
          </cell>
          <cell r="BK44">
            <v>37</v>
          </cell>
          <cell r="BL44">
            <v>27</v>
          </cell>
          <cell r="BM44"/>
          <cell r="BN44"/>
          <cell r="BO44">
            <v>0</v>
          </cell>
          <cell r="BP44"/>
          <cell r="BQ44"/>
          <cell r="BR44"/>
          <cell r="BS44"/>
          <cell r="BT44"/>
          <cell r="BU44"/>
          <cell r="BV44"/>
          <cell r="BW44"/>
          <cell r="BX44"/>
          <cell r="BY44"/>
          <cell r="BZ44"/>
          <cell r="CA44"/>
          <cell r="CB44"/>
          <cell r="CC44"/>
          <cell r="CD44"/>
          <cell r="CE44"/>
          <cell r="CF44"/>
          <cell r="CG44"/>
          <cell r="CH44"/>
          <cell r="CI44"/>
          <cell r="CJ44"/>
        </row>
        <row r="45">
          <cell r="C45">
            <v>0</v>
          </cell>
          <cell r="D45" t="str">
            <v>HC000092</v>
          </cell>
          <cell r="E45" t="str">
            <v xml:space="preserve"> C/MBR,RR FLOOR(NO6 MOUNT)</v>
          </cell>
          <cell r="F45" t="str">
            <v>XB591311</v>
          </cell>
          <cell r="AZ45" t="str">
            <v>B</v>
          </cell>
          <cell r="BA45" t="str">
            <v>신아금속</v>
          </cell>
          <cell r="BB45" t="str">
            <v>H50A12K</v>
          </cell>
          <cell r="BD45" t="str">
            <v>K591</v>
          </cell>
          <cell r="BE45" t="str">
            <v>2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/>
          <cell r="BN45"/>
          <cell r="BO45">
            <v>0</v>
          </cell>
          <cell r="BP45"/>
          <cell r="BQ45"/>
          <cell r="BR45"/>
          <cell r="BS45"/>
          <cell r="BT45"/>
          <cell r="BU45"/>
          <cell r="BV45"/>
          <cell r="BW45"/>
          <cell r="BX45"/>
          <cell r="BY45"/>
          <cell r="BZ45"/>
          <cell r="CA45"/>
          <cell r="CB45"/>
          <cell r="CC45"/>
          <cell r="CD45"/>
          <cell r="CE45"/>
          <cell r="CF45"/>
          <cell r="CG45"/>
          <cell r="CH45"/>
          <cell r="CI45"/>
          <cell r="CJ45"/>
          <cell r="CK45"/>
        </row>
        <row r="46">
          <cell r="C46">
            <v>14</v>
          </cell>
          <cell r="D46" t="str">
            <v>HC000117</v>
          </cell>
          <cell r="E46" t="str">
            <v xml:space="preserve"> C/MBR,RR FLOOR(TCI MB275217적용)</v>
          </cell>
          <cell r="W46">
            <v>1</v>
          </cell>
          <cell r="AH46">
            <v>1</v>
          </cell>
          <cell r="AN46">
            <v>1</v>
          </cell>
          <cell r="AP46">
            <v>1</v>
          </cell>
          <cell r="AW46">
            <v>1</v>
          </cell>
          <cell r="AZ46" t="str">
            <v>B</v>
          </cell>
          <cell r="BA46" t="str">
            <v>신아금속</v>
          </cell>
          <cell r="BB46" t="str">
            <v>H50A12K</v>
          </cell>
          <cell r="BC46" t="str">
            <v>MB275217A=</v>
          </cell>
          <cell r="BD46" t="str">
            <v>K591</v>
          </cell>
          <cell r="BE46" t="str">
            <v>V6,TCI S/B</v>
          </cell>
          <cell r="BI46">
            <v>0</v>
          </cell>
          <cell r="BJ46">
            <v>0</v>
          </cell>
          <cell r="BK46">
            <v>7</v>
          </cell>
          <cell r="BL46">
            <v>2</v>
          </cell>
          <cell r="BM46"/>
          <cell r="BN46"/>
          <cell r="BO46">
            <v>0</v>
          </cell>
          <cell r="BP46"/>
          <cell r="BQ46"/>
          <cell r="BR46"/>
          <cell r="BS46"/>
          <cell r="BT46"/>
          <cell r="BU46"/>
          <cell r="BV46"/>
          <cell r="BW46"/>
          <cell r="BX46"/>
          <cell r="BY46"/>
          <cell r="BZ46"/>
          <cell r="CA46"/>
          <cell r="CB46"/>
          <cell r="CC46"/>
          <cell r="CD46"/>
          <cell r="CE46"/>
          <cell r="CF46"/>
          <cell r="CG46"/>
          <cell r="CH46"/>
          <cell r="CI46"/>
          <cell r="CJ46"/>
          <cell r="CK46"/>
        </row>
        <row r="47">
          <cell r="C47">
            <v>116</v>
          </cell>
          <cell r="D47" t="str">
            <v>HC000118</v>
          </cell>
          <cell r="E47" t="str">
            <v xml:space="preserve"> C/MBR,RR FLOOR(TCI MB275080적용)</v>
          </cell>
          <cell r="X47">
            <v>1</v>
          </cell>
          <cell r="AE47">
            <v>1</v>
          </cell>
          <cell r="AI47">
            <v>1</v>
          </cell>
          <cell r="AR47">
            <v>1</v>
          </cell>
          <cell r="AT47">
            <v>1</v>
          </cell>
          <cell r="AY47">
            <v>1</v>
          </cell>
          <cell r="AZ47" t="str">
            <v>B</v>
          </cell>
          <cell r="BA47" t="str">
            <v>신아금속</v>
          </cell>
          <cell r="BB47" t="str">
            <v>H50A12K</v>
          </cell>
          <cell r="BC47" t="str">
            <v>MB250080A=</v>
          </cell>
          <cell r="BD47" t="str">
            <v>K591</v>
          </cell>
          <cell r="BE47" t="str">
            <v>6,16,18</v>
          </cell>
          <cell r="BI47">
            <v>0</v>
          </cell>
          <cell r="BJ47">
            <v>2</v>
          </cell>
          <cell r="BK47">
            <v>53</v>
          </cell>
          <cell r="BL47">
            <v>44</v>
          </cell>
          <cell r="BM47"/>
          <cell r="BN47"/>
          <cell r="BO47">
            <v>0</v>
          </cell>
          <cell r="BP47"/>
          <cell r="BQ47"/>
          <cell r="BR47"/>
          <cell r="BS47"/>
          <cell r="BT47"/>
          <cell r="BU47"/>
          <cell r="BV47"/>
          <cell r="BW47"/>
          <cell r="BX47"/>
          <cell r="BY47"/>
          <cell r="BZ47"/>
          <cell r="CA47"/>
          <cell r="CB47"/>
          <cell r="CC47"/>
          <cell r="CD47"/>
          <cell r="CE47"/>
          <cell r="CF47"/>
          <cell r="CG47"/>
          <cell r="CH47"/>
          <cell r="CI47"/>
          <cell r="CJ47"/>
          <cell r="CK47"/>
          <cell r="CL47"/>
          <cell r="CM47"/>
          <cell r="CN47"/>
          <cell r="CO47"/>
          <cell r="CP47"/>
          <cell r="CQ47"/>
        </row>
        <row r="48">
          <cell r="C48">
            <v>20</v>
          </cell>
          <cell r="D48" t="str">
            <v>HC000121</v>
          </cell>
          <cell r="E48" t="str">
            <v xml:space="preserve"> REINF ASSY RR FLR EXT</v>
          </cell>
          <cell r="I48">
            <v>1</v>
          </cell>
          <cell r="AG48">
            <v>1</v>
          </cell>
          <cell r="AZ48" t="str">
            <v>B</v>
          </cell>
          <cell r="BA48" t="str">
            <v>신아금속</v>
          </cell>
          <cell r="BB48" t="str">
            <v>H50A11K</v>
          </cell>
          <cell r="BD48" t="str">
            <v>K591</v>
          </cell>
          <cell r="BE48" t="str">
            <v>2</v>
          </cell>
          <cell r="BI48">
            <v>20</v>
          </cell>
          <cell r="BJ48">
            <v>0</v>
          </cell>
          <cell r="BK48">
            <v>0</v>
          </cell>
          <cell r="BL48">
            <v>0</v>
          </cell>
          <cell r="BM48"/>
          <cell r="BN48"/>
          <cell r="BO48">
            <v>0</v>
          </cell>
          <cell r="BP48"/>
          <cell r="BQ48"/>
          <cell r="BR48"/>
          <cell r="BS48"/>
          <cell r="BT48"/>
          <cell r="BU48"/>
          <cell r="BV48"/>
          <cell r="BW48"/>
          <cell r="BX48"/>
          <cell r="BY48"/>
          <cell r="BZ48"/>
          <cell r="CA48"/>
          <cell r="CB48"/>
          <cell r="CC48"/>
          <cell r="CD48"/>
          <cell r="CE48"/>
          <cell r="CF48"/>
          <cell r="CG48"/>
          <cell r="CH48"/>
          <cell r="CI48"/>
          <cell r="CJ48"/>
          <cell r="CK48"/>
        </row>
        <row r="49">
          <cell r="C49">
            <v>116</v>
          </cell>
          <cell r="D49" t="str">
            <v>HC000122</v>
          </cell>
          <cell r="E49" t="str">
            <v xml:space="preserve"> REINF ASSY RR FLR EXT</v>
          </cell>
          <cell r="X49">
            <v>1</v>
          </cell>
          <cell r="AE49">
            <v>1</v>
          </cell>
          <cell r="AI49">
            <v>1</v>
          </cell>
          <cell r="AR49">
            <v>1</v>
          </cell>
          <cell r="AT49">
            <v>1</v>
          </cell>
          <cell r="AY49">
            <v>1</v>
          </cell>
          <cell r="AZ49" t="str">
            <v>B</v>
          </cell>
          <cell r="BA49" t="str">
            <v>신아금속</v>
          </cell>
          <cell r="BB49" t="str">
            <v>H50A11K</v>
          </cell>
          <cell r="BD49" t="str">
            <v>K591</v>
          </cell>
          <cell r="BE49" t="str">
            <v>6</v>
          </cell>
          <cell r="BI49">
            <v>0</v>
          </cell>
          <cell r="BJ49">
            <v>2</v>
          </cell>
          <cell r="BK49">
            <v>53</v>
          </cell>
          <cell r="BL49">
            <v>44</v>
          </cell>
          <cell r="BM49"/>
          <cell r="BN49"/>
          <cell r="BO49">
            <v>0</v>
          </cell>
          <cell r="BP49"/>
          <cell r="BQ49"/>
          <cell r="BR49"/>
          <cell r="BS49"/>
          <cell r="BT49"/>
          <cell r="BU49"/>
          <cell r="BV49"/>
          <cell r="BW49"/>
          <cell r="BX49"/>
          <cell r="BY49"/>
          <cell r="BZ49"/>
          <cell r="CA49"/>
          <cell r="CB49"/>
          <cell r="CC49"/>
          <cell r="CD49"/>
          <cell r="CE49"/>
          <cell r="CF49"/>
          <cell r="CG49"/>
          <cell r="CH49"/>
          <cell r="CI49"/>
          <cell r="CJ49"/>
          <cell r="CK49"/>
          <cell r="CL49"/>
          <cell r="CM49"/>
          <cell r="CN49"/>
          <cell r="CO49"/>
          <cell r="CP49"/>
          <cell r="CQ49"/>
        </row>
        <row r="50">
          <cell r="C50">
            <v>1756</v>
          </cell>
          <cell r="D50" t="str">
            <v>HC000123</v>
          </cell>
          <cell r="E50" t="str">
            <v xml:space="preserve"> REINF ASSY,RR FLOOR EXT</v>
          </cell>
          <cell r="J50">
            <v>1</v>
          </cell>
          <cell r="K50">
            <v>1</v>
          </cell>
          <cell r="O50">
            <v>1</v>
          </cell>
          <cell r="Q50">
            <v>1</v>
          </cell>
          <cell r="S50">
            <v>1</v>
          </cell>
          <cell r="T50">
            <v>1</v>
          </cell>
          <cell r="V50">
            <v>1</v>
          </cell>
          <cell r="Y50">
            <v>1</v>
          </cell>
          <cell r="Z50">
            <v>1</v>
          </cell>
          <cell r="AA50">
            <v>1</v>
          </cell>
          <cell r="AJ50">
            <v>1</v>
          </cell>
          <cell r="AK50">
            <v>1</v>
          </cell>
          <cell r="AQ50">
            <v>1</v>
          </cell>
          <cell r="AS50">
            <v>1</v>
          </cell>
          <cell r="AU50">
            <v>1</v>
          </cell>
          <cell r="AV50">
            <v>1</v>
          </cell>
          <cell r="AX50">
            <v>1</v>
          </cell>
          <cell r="AZ50" t="str">
            <v>B</v>
          </cell>
          <cell r="BA50" t="str">
            <v>신아금속</v>
          </cell>
          <cell r="BB50" t="str">
            <v>H50A11K</v>
          </cell>
          <cell r="BD50" t="str">
            <v>K591</v>
          </cell>
          <cell r="BI50">
            <v>868</v>
          </cell>
          <cell r="BJ50">
            <v>456</v>
          </cell>
          <cell r="BK50">
            <v>37</v>
          </cell>
          <cell r="BL50">
            <v>56</v>
          </cell>
          <cell r="BM50"/>
          <cell r="BN50"/>
          <cell r="BO50">
            <v>0</v>
          </cell>
          <cell r="BP50"/>
          <cell r="BQ50"/>
          <cell r="BR50"/>
          <cell r="BS50"/>
          <cell r="BT50"/>
          <cell r="BU50"/>
          <cell r="BV50"/>
          <cell r="BW50"/>
          <cell r="BX50"/>
          <cell r="BY50"/>
          <cell r="BZ50"/>
          <cell r="CA50"/>
          <cell r="CB50"/>
          <cell r="CC50"/>
          <cell r="CD50"/>
          <cell r="CE50"/>
          <cell r="CF50"/>
          <cell r="CG50"/>
          <cell r="CH50"/>
          <cell r="CI50"/>
          <cell r="CJ50"/>
          <cell r="CK50"/>
          <cell r="CL50"/>
          <cell r="CM50"/>
        </row>
        <row r="51">
          <cell r="C51">
            <v>20</v>
          </cell>
          <cell r="D51" t="str">
            <v>HC000124</v>
          </cell>
          <cell r="E51" t="str">
            <v xml:space="preserve"> EXT ASSY FRT FLR</v>
          </cell>
          <cell r="F51" t="str">
            <v>마감시대체불출∨</v>
          </cell>
          <cell r="I51">
            <v>1</v>
          </cell>
          <cell r="AG51">
            <v>1</v>
          </cell>
          <cell r="AZ51" t="str">
            <v>B</v>
          </cell>
          <cell r="BA51" t="str">
            <v>신아금속</v>
          </cell>
          <cell r="BB51" t="str">
            <v>H50A11K</v>
          </cell>
          <cell r="BD51" t="str">
            <v>K591</v>
          </cell>
          <cell r="BE51" t="str">
            <v>2</v>
          </cell>
          <cell r="BI51">
            <v>20</v>
          </cell>
          <cell r="BJ51">
            <v>0</v>
          </cell>
          <cell r="BK51">
            <v>0</v>
          </cell>
          <cell r="BL51">
            <v>0</v>
          </cell>
          <cell r="BM51"/>
          <cell r="BN51"/>
          <cell r="BO51">
            <v>0</v>
          </cell>
          <cell r="BP51"/>
          <cell r="BQ51"/>
          <cell r="BR51"/>
          <cell r="BS51"/>
          <cell r="BT51"/>
          <cell r="BU51"/>
          <cell r="BV51"/>
          <cell r="BW51"/>
          <cell r="BX51"/>
          <cell r="BY51"/>
          <cell r="BZ51"/>
          <cell r="CA51"/>
          <cell r="CB51"/>
          <cell r="CC51"/>
          <cell r="CD51"/>
          <cell r="CE51"/>
          <cell r="CF51"/>
          <cell r="CG51"/>
          <cell r="CH51"/>
          <cell r="CI51"/>
          <cell r="CJ51"/>
          <cell r="CK51"/>
        </row>
        <row r="52">
          <cell r="C52">
            <v>1872</v>
          </cell>
          <cell r="D52" t="str">
            <v>HC000125</v>
          </cell>
          <cell r="E52" t="str">
            <v xml:space="preserve"> EXT ASSY FRT FLR</v>
          </cell>
          <cell r="F52" t="str">
            <v>+972A</v>
          </cell>
          <cell r="J52">
            <v>1</v>
          </cell>
          <cell r="K52">
            <v>1</v>
          </cell>
          <cell r="O52">
            <v>1</v>
          </cell>
          <cell r="Q52">
            <v>1</v>
          </cell>
          <cell r="S52">
            <v>1</v>
          </cell>
          <cell r="T52">
            <v>1</v>
          </cell>
          <cell r="V52">
            <v>1</v>
          </cell>
          <cell r="X52">
            <v>1</v>
          </cell>
          <cell r="Y52">
            <v>1</v>
          </cell>
          <cell r="Z52">
            <v>1</v>
          </cell>
          <cell r="AA52">
            <v>1</v>
          </cell>
          <cell r="AE52">
            <v>1</v>
          </cell>
          <cell r="AI52">
            <v>1</v>
          </cell>
          <cell r="AJ52">
            <v>1</v>
          </cell>
          <cell r="AK52">
            <v>1</v>
          </cell>
          <cell r="AQ52">
            <v>1</v>
          </cell>
          <cell r="AR52">
            <v>1</v>
          </cell>
          <cell r="AS52">
            <v>1</v>
          </cell>
          <cell r="AT52">
            <v>1</v>
          </cell>
          <cell r="AU52">
            <v>1</v>
          </cell>
          <cell r="AV52">
            <v>1</v>
          </cell>
          <cell r="AX52">
            <v>1</v>
          </cell>
          <cell r="AY52">
            <v>1</v>
          </cell>
          <cell r="AZ52" t="str">
            <v>B</v>
          </cell>
          <cell r="BA52" t="str">
            <v>신아금속</v>
          </cell>
          <cell r="BB52" t="str">
            <v>H50A11K</v>
          </cell>
          <cell r="BC52" t="str">
            <v>20,21생산임의사용</v>
          </cell>
          <cell r="BD52" t="str">
            <v>K591</v>
          </cell>
          <cell r="BI52">
            <v>868</v>
          </cell>
          <cell r="BJ52">
            <v>458</v>
          </cell>
          <cell r="BK52">
            <v>90</v>
          </cell>
          <cell r="BL52">
            <v>100</v>
          </cell>
          <cell r="BM52"/>
          <cell r="BN52"/>
          <cell r="BO52">
            <v>0</v>
          </cell>
          <cell r="BP52"/>
          <cell r="BQ52"/>
          <cell r="BR52"/>
          <cell r="BS52"/>
          <cell r="BT52"/>
          <cell r="BU52"/>
          <cell r="BV52"/>
          <cell r="BW52"/>
          <cell r="BX52"/>
          <cell r="BY52"/>
          <cell r="BZ52"/>
          <cell r="CA52"/>
          <cell r="CB52"/>
          <cell r="CC52"/>
          <cell r="CD52"/>
          <cell r="CE52"/>
          <cell r="CF52"/>
          <cell r="CG52"/>
          <cell r="CH52"/>
          <cell r="CI52"/>
          <cell r="CJ52"/>
          <cell r="CK52"/>
          <cell r="CL52"/>
          <cell r="CM52"/>
          <cell r="CN52"/>
          <cell r="CO52"/>
          <cell r="CP52"/>
          <cell r="CQ52"/>
        </row>
        <row r="53">
          <cell r="C53">
            <v>1872</v>
          </cell>
          <cell r="D53" t="str">
            <v>HC000126</v>
          </cell>
          <cell r="E53" t="str">
            <v xml:space="preserve"> EXT ASSY FRT FLR</v>
          </cell>
          <cell r="F53" t="str">
            <v>마감시대체불출∧</v>
          </cell>
          <cell r="J53">
            <v>1</v>
          </cell>
          <cell r="K53">
            <v>1</v>
          </cell>
          <cell r="O53">
            <v>1</v>
          </cell>
          <cell r="Q53">
            <v>1</v>
          </cell>
          <cell r="S53">
            <v>1</v>
          </cell>
          <cell r="T53">
            <v>1</v>
          </cell>
          <cell r="V53">
            <v>1</v>
          </cell>
          <cell r="X53">
            <v>1</v>
          </cell>
          <cell r="Y53">
            <v>1</v>
          </cell>
          <cell r="Z53">
            <v>1</v>
          </cell>
          <cell r="AA53">
            <v>1</v>
          </cell>
          <cell r="AE53">
            <v>1</v>
          </cell>
          <cell r="AI53">
            <v>1</v>
          </cell>
          <cell r="AJ53">
            <v>1</v>
          </cell>
          <cell r="AK53">
            <v>1</v>
          </cell>
          <cell r="AQ53">
            <v>1</v>
          </cell>
          <cell r="AR53">
            <v>1</v>
          </cell>
          <cell r="AS53">
            <v>1</v>
          </cell>
          <cell r="AT53">
            <v>1</v>
          </cell>
          <cell r="AU53">
            <v>1</v>
          </cell>
          <cell r="AV53">
            <v>1</v>
          </cell>
          <cell r="AX53">
            <v>1</v>
          </cell>
          <cell r="AY53">
            <v>1</v>
          </cell>
          <cell r="AZ53" t="str">
            <v>B</v>
          </cell>
          <cell r="BA53" t="str">
            <v>신아금속</v>
          </cell>
          <cell r="BB53" t="str">
            <v>H50A11K01-8^10,12,14,16,63</v>
          </cell>
          <cell r="BD53" t="str">
            <v>K591</v>
          </cell>
          <cell r="BI53">
            <v>868</v>
          </cell>
          <cell r="BJ53">
            <v>458</v>
          </cell>
          <cell r="BK53">
            <v>90</v>
          </cell>
          <cell r="BL53">
            <v>100</v>
          </cell>
          <cell r="BM53"/>
          <cell r="BN53"/>
          <cell r="BO53">
            <v>0</v>
          </cell>
          <cell r="BP53"/>
          <cell r="BQ53"/>
          <cell r="BR53"/>
          <cell r="BS53"/>
          <cell r="BT53"/>
          <cell r="BU53"/>
          <cell r="BV53"/>
          <cell r="BW53"/>
          <cell r="BX53"/>
          <cell r="BY53"/>
          <cell r="BZ53"/>
          <cell r="CA53"/>
          <cell r="CB53"/>
          <cell r="CC53"/>
          <cell r="CD53"/>
          <cell r="CE53"/>
          <cell r="CF53"/>
          <cell r="CG53"/>
          <cell r="CH53"/>
          <cell r="CI53"/>
          <cell r="CJ53"/>
          <cell r="CK53"/>
          <cell r="CL53"/>
          <cell r="CM53"/>
          <cell r="CN53"/>
          <cell r="CO53"/>
          <cell r="CP53"/>
          <cell r="CQ53"/>
        </row>
        <row r="54">
          <cell r="C54">
            <v>590</v>
          </cell>
          <cell r="D54" t="str">
            <v>HC000135</v>
          </cell>
          <cell r="E54" t="str">
            <v xml:space="preserve"> RAIL,RR ROOF,INR(삭제ITEM)</v>
          </cell>
          <cell r="H54">
            <v>1</v>
          </cell>
          <cell r="R54">
            <v>1</v>
          </cell>
          <cell r="AB54">
            <v>1</v>
          </cell>
          <cell r="AC54">
            <v>1</v>
          </cell>
          <cell r="AF54">
            <v>1</v>
          </cell>
          <cell r="AG54"/>
          <cell r="AH54">
            <v>1</v>
          </cell>
          <cell r="AI54"/>
          <cell r="AJ54"/>
          <cell r="AK54"/>
          <cell r="AL54"/>
          <cell r="AM54">
            <v>1</v>
          </cell>
          <cell r="AN54">
            <v>1</v>
          </cell>
          <cell r="AO54"/>
          <cell r="AP54"/>
          <cell r="AQ54"/>
          <cell r="AR54"/>
          <cell r="AS54"/>
          <cell r="AT54"/>
          <cell r="AU54"/>
          <cell r="AV54"/>
          <cell r="AW54">
            <v>1</v>
          </cell>
          <cell r="AX54"/>
          <cell r="AY54"/>
          <cell r="AZ54" t="str">
            <v>B</v>
          </cell>
          <cell r="BA54" t="str">
            <v>신아금속</v>
          </cell>
          <cell r="BB54" t="str">
            <v>H50A20K</v>
          </cell>
          <cell r="BC54" t="str">
            <v>-HC000137</v>
          </cell>
          <cell r="BD54" t="str">
            <v>K591</v>
          </cell>
          <cell r="BE54" t="str">
            <v>S/B</v>
          </cell>
          <cell r="BF54"/>
          <cell r="BG54"/>
          <cell r="BH54"/>
          <cell r="BI54">
            <v>0</v>
          </cell>
          <cell r="BJ54">
            <v>539</v>
          </cell>
          <cell r="BK54">
            <v>14</v>
          </cell>
          <cell r="BL54">
            <v>2</v>
          </cell>
          <cell r="BM54"/>
          <cell r="BN54"/>
          <cell r="BO54">
            <v>0</v>
          </cell>
          <cell r="BP54"/>
          <cell r="BQ54"/>
          <cell r="BR54"/>
          <cell r="BS54"/>
          <cell r="BT54"/>
          <cell r="BU54"/>
          <cell r="BV54"/>
          <cell r="BW54"/>
          <cell r="BX54"/>
          <cell r="BY54"/>
          <cell r="BZ54"/>
          <cell r="CA54"/>
          <cell r="CB54"/>
          <cell r="CC54"/>
          <cell r="CD54"/>
          <cell r="CE54"/>
          <cell r="CF54"/>
          <cell r="CG54"/>
          <cell r="CH54"/>
          <cell r="CI54"/>
          <cell r="CJ54"/>
          <cell r="CK54"/>
          <cell r="CL54"/>
          <cell r="CM54"/>
          <cell r="CN54"/>
          <cell r="CO54"/>
        </row>
        <row r="55">
          <cell r="C55">
            <v>20</v>
          </cell>
          <cell r="D55" t="str">
            <v>HC000136</v>
          </cell>
          <cell r="E55" t="str">
            <v xml:space="preserve"> RAIL,RR ROOF,INR</v>
          </cell>
          <cell r="I55">
            <v>1</v>
          </cell>
          <cell r="AG55">
            <v>1</v>
          </cell>
          <cell r="AZ55" t="str">
            <v>B</v>
          </cell>
          <cell r="BA55" t="str">
            <v>신아금속</v>
          </cell>
          <cell r="BB55" t="str">
            <v>H50A20K</v>
          </cell>
          <cell r="BD55" t="str">
            <v>K591</v>
          </cell>
          <cell r="BE55" t="str">
            <v>2</v>
          </cell>
          <cell r="BI55">
            <v>20</v>
          </cell>
          <cell r="BJ55">
            <v>0</v>
          </cell>
          <cell r="BK55">
            <v>0</v>
          </cell>
          <cell r="BL55">
            <v>0</v>
          </cell>
          <cell r="BM55"/>
          <cell r="BN55"/>
          <cell r="BO55">
            <v>0</v>
          </cell>
          <cell r="BP55"/>
          <cell r="BQ55"/>
          <cell r="BR55"/>
          <cell r="BS55"/>
          <cell r="BT55"/>
          <cell r="BU55"/>
          <cell r="BV55"/>
          <cell r="BW55"/>
          <cell r="BX55"/>
          <cell r="BY55"/>
          <cell r="BZ55"/>
          <cell r="CA55"/>
          <cell r="CB55"/>
          <cell r="CC55"/>
          <cell r="CD55"/>
          <cell r="CE55"/>
          <cell r="CF55"/>
          <cell r="CG55"/>
          <cell r="CH55"/>
          <cell r="CI55"/>
          <cell r="CJ55"/>
          <cell r="CK55"/>
        </row>
        <row r="56">
          <cell r="C56">
            <v>1448</v>
          </cell>
          <cell r="D56" t="str">
            <v>HC000137</v>
          </cell>
          <cell r="E56" t="str">
            <v xml:space="preserve"> RAIL,RR ROOF,INR</v>
          </cell>
          <cell r="J56">
            <v>1</v>
          </cell>
          <cell r="K56">
            <v>1</v>
          </cell>
          <cell r="L56">
            <v>1</v>
          </cell>
          <cell r="M56">
            <v>1</v>
          </cell>
          <cell r="N56">
            <v>1</v>
          </cell>
          <cell r="O56">
            <v>1</v>
          </cell>
          <cell r="P56">
            <v>1</v>
          </cell>
          <cell r="Q56">
            <v>1</v>
          </cell>
          <cell r="U56">
            <v>1</v>
          </cell>
          <cell r="V56">
            <v>1</v>
          </cell>
          <cell r="W56">
            <v>1</v>
          </cell>
          <cell r="X56">
            <v>1</v>
          </cell>
          <cell r="AD56">
            <v>1</v>
          </cell>
          <cell r="AE56">
            <v>1</v>
          </cell>
          <cell r="AI56">
            <v>1</v>
          </cell>
          <cell r="AJ56">
            <v>1</v>
          </cell>
          <cell r="AK56">
            <v>1</v>
          </cell>
          <cell r="AL56">
            <v>1</v>
          </cell>
          <cell r="AP56">
            <v>1</v>
          </cell>
          <cell r="AQ56">
            <v>1</v>
          </cell>
          <cell r="AR56">
            <v>1</v>
          </cell>
          <cell r="AS56">
            <v>1</v>
          </cell>
          <cell r="AT56">
            <v>1</v>
          </cell>
          <cell r="AZ56" t="str">
            <v>B</v>
          </cell>
          <cell r="BA56" t="str">
            <v>신아금속</v>
          </cell>
          <cell r="BB56" t="str">
            <v>H50A20K01-3,5</v>
          </cell>
          <cell r="BC56" t="str">
            <v>HC000135-</v>
          </cell>
          <cell r="BD56" t="str">
            <v>K591</v>
          </cell>
          <cell r="BI56">
            <v>917</v>
          </cell>
          <cell r="BJ56">
            <v>2</v>
          </cell>
          <cell r="BK56">
            <v>96</v>
          </cell>
          <cell r="BL56">
            <v>65</v>
          </cell>
          <cell r="BM56"/>
          <cell r="BN56"/>
          <cell r="BO56">
            <v>0</v>
          </cell>
          <cell r="BP56"/>
          <cell r="BQ56"/>
          <cell r="BR56"/>
          <cell r="BS56"/>
          <cell r="BT56"/>
          <cell r="BU56"/>
          <cell r="BV56"/>
          <cell r="BW56"/>
          <cell r="BX56"/>
          <cell r="BY56"/>
          <cell r="BZ56"/>
          <cell r="CA56"/>
          <cell r="CB56"/>
          <cell r="CC56"/>
          <cell r="CD56"/>
          <cell r="CE56"/>
          <cell r="CF56"/>
          <cell r="CG56"/>
          <cell r="CH56"/>
          <cell r="CI56"/>
          <cell r="CJ56"/>
          <cell r="CK56"/>
          <cell r="CL56"/>
          <cell r="CM56"/>
          <cell r="CN56"/>
          <cell r="CO56"/>
          <cell r="CP56"/>
          <cell r="CQ56"/>
        </row>
        <row r="57">
          <cell r="C57">
            <v>514</v>
          </cell>
          <cell r="D57" t="str">
            <v>HC000138A</v>
          </cell>
          <cell r="E57" t="str">
            <v xml:space="preserve"> RAIL,RR ROOF INR</v>
          </cell>
          <cell r="S57">
            <v>1</v>
          </cell>
          <cell r="T57">
            <v>1</v>
          </cell>
          <cell r="Y57">
            <v>1</v>
          </cell>
          <cell r="Z57">
            <v>1</v>
          </cell>
          <cell r="AA57">
            <v>1</v>
          </cell>
          <cell r="AU57">
            <v>1</v>
          </cell>
          <cell r="AV57">
            <v>1</v>
          </cell>
          <cell r="AX57">
            <v>1</v>
          </cell>
          <cell r="AY57">
            <v>1</v>
          </cell>
          <cell r="AZ57" t="str">
            <v>B</v>
          </cell>
          <cell r="BA57" t="str">
            <v>신아금속</v>
          </cell>
          <cell r="BB57" t="str">
            <v>H50A20K</v>
          </cell>
          <cell r="BC57" t="str">
            <v>H1</v>
          </cell>
          <cell r="BD57" t="str">
            <v>K591</v>
          </cell>
          <cell r="BE57" t="str">
            <v>HR'</v>
          </cell>
          <cell r="BI57">
            <v>0</v>
          </cell>
          <cell r="BJ57">
            <v>456</v>
          </cell>
          <cell r="BK57">
            <v>0</v>
          </cell>
          <cell r="BL57">
            <v>35</v>
          </cell>
          <cell r="BM57"/>
          <cell r="BN57"/>
          <cell r="BO57">
            <v>0</v>
          </cell>
          <cell r="BP57"/>
          <cell r="BQ57"/>
          <cell r="BR57"/>
          <cell r="BS57"/>
          <cell r="BT57"/>
          <cell r="BU57"/>
          <cell r="BV57"/>
          <cell r="BW57"/>
          <cell r="BX57"/>
          <cell r="BY57"/>
          <cell r="BZ57"/>
          <cell r="CA57"/>
          <cell r="CB57"/>
          <cell r="CC57"/>
          <cell r="CD57"/>
          <cell r="CE57"/>
          <cell r="CF57"/>
          <cell r="CG57"/>
          <cell r="CH57"/>
          <cell r="CI57"/>
          <cell r="CJ57"/>
          <cell r="CK57"/>
          <cell r="CL57"/>
          <cell r="CM57"/>
        </row>
        <row r="58">
          <cell r="C58">
            <v>539</v>
          </cell>
          <cell r="D58" t="str">
            <v>HC250001A</v>
          </cell>
          <cell r="E58" t="str">
            <v xml:space="preserve"> EXT ASSY RR FLR</v>
          </cell>
          <cell r="F58" t="b">
            <v>1</v>
          </cell>
          <cell r="H58" t="b">
            <v>1</v>
          </cell>
          <cell r="J58"/>
          <cell r="N58"/>
          <cell r="O58"/>
          <cell r="R58">
            <v>1</v>
          </cell>
          <cell r="AB58">
            <v>1</v>
          </cell>
          <cell r="AD58"/>
          <cell r="AE58"/>
          <cell r="AZ58" t="str">
            <v>B</v>
          </cell>
          <cell r="BA58" t="str">
            <v>신아금속</v>
          </cell>
          <cell r="BB58" t="str">
            <v>H50A12K</v>
          </cell>
          <cell r="BD58" t="str">
            <v>K591</v>
          </cell>
          <cell r="BE58" t="str">
            <v>VAN</v>
          </cell>
          <cell r="BI58">
            <v>0</v>
          </cell>
          <cell r="BJ58">
            <v>539</v>
          </cell>
          <cell r="BK58">
            <v>0</v>
          </cell>
          <cell r="BL58">
            <v>0</v>
          </cell>
          <cell r="BM58"/>
          <cell r="BN58"/>
          <cell r="BO58">
            <v>0</v>
          </cell>
          <cell r="BP58"/>
          <cell r="BQ58"/>
          <cell r="BR58"/>
          <cell r="BS58"/>
          <cell r="BT58"/>
          <cell r="BU58"/>
          <cell r="BV58"/>
          <cell r="BW58"/>
          <cell r="BX58"/>
          <cell r="BY58"/>
          <cell r="BZ58"/>
          <cell r="CA58"/>
          <cell r="CB58"/>
          <cell r="CC58"/>
          <cell r="CD58"/>
          <cell r="CE58"/>
          <cell r="CF58"/>
          <cell r="CG58"/>
          <cell r="CH58"/>
          <cell r="CI58"/>
          <cell r="CJ58"/>
          <cell r="CK58"/>
          <cell r="CL58"/>
          <cell r="CM58"/>
          <cell r="CN58"/>
          <cell r="CX58"/>
          <cell r="CY58"/>
          <cell r="DH58"/>
          <cell r="DI58"/>
          <cell r="DJ58"/>
        </row>
        <row r="59">
          <cell r="C59">
            <v>482</v>
          </cell>
          <cell r="D59" t="str">
            <v>HC756003A</v>
          </cell>
          <cell r="E59" t="str">
            <v xml:space="preserve"> EXT,RR FLOOR,RR</v>
          </cell>
          <cell r="F59" t="str">
            <v>-973A</v>
          </cell>
          <cell r="S59">
            <v>1</v>
          </cell>
          <cell r="T59">
            <v>1</v>
          </cell>
          <cell r="Y59">
            <v>1</v>
          </cell>
          <cell r="Z59">
            <v>1</v>
          </cell>
          <cell r="AA59">
            <v>1</v>
          </cell>
          <cell r="AU59">
            <v>1</v>
          </cell>
          <cell r="AV59">
            <v>1</v>
          </cell>
          <cell r="AZ59" t="str">
            <v>B</v>
          </cell>
          <cell r="BA59" t="str">
            <v>신아금속</v>
          </cell>
          <cell r="BB59" t="str">
            <v>H50A12K</v>
          </cell>
          <cell r="BC59" t="str">
            <v>HC756003</v>
          </cell>
          <cell r="BD59" t="str">
            <v>K591</v>
          </cell>
          <cell r="BE59" t="str">
            <v>HR'</v>
          </cell>
          <cell r="BI59">
            <v>0</v>
          </cell>
          <cell r="BJ59">
            <v>456</v>
          </cell>
          <cell r="BK59">
            <v>0</v>
          </cell>
          <cell r="BL59">
            <v>3</v>
          </cell>
          <cell r="BM59"/>
          <cell r="BN59"/>
          <cell r="BO59">
            <v>0</v>
          </cell>
          <cell r="BP59"/>
          <cell r="BQ59"/>
          <cell r="BR59"/>
          <cell r="BS59"/>
          <cell r="BT59"/>
          <cell r="BU59"/>
          <cell r="BV59"/>
          <cell r="BW59"/>
          <cell r="BX59"/>
          <cell r="BY59"/>
          <cell r="BZ59"/>
          <cell r="CA59"/>
          <cell r="CB59"/>
          <cell r="CC59"/>
          <cell r="CD59"/>
          <cell r="CE59"/>
          <cell r="CF59"/>
          <cell r="CG59"/>
          <cell r="CH59"/>
          <cell r="CI59"/>
          <cell r="CJ59"/>
          <cell r="CK59"/>
          <cell r="CL59"/>
          <cell r="CM59"/>
        </row>
        <row r="60">
          <cell r="C60">
            <v>482</v>
          </cell>
          <cell r="D60" t="str">
            <v>HC756006</v>
          </cell>
          <cell r="E60" t="str">
            <v xml:space="preserve"> C/MBR,RR FLOOR(NO6 MOUNT)</v>
          </cell>
          <cell r="F60" t="str">
            <v>-973A</v>
          </cell>
          <cell r="S60">
            <v>1</v>
          </cell>
          <cell r="T60">
            <v>1</v>
          </cell>
          <cell r="Y60">
            <v>1</v>
          </cell>
          <cell r="Z60">
            <v>1</v>
          </cell>
          <cell r="AA60">
            <v>1</v>
          </cell>
          <cell r="AU60">
            <v>1</v>
          </cell>
          <cell r="AV60">
            <v>1</v>
          </cell>
          <cell r="AZ60" t="str">
            <v>B</v>
          </cell>
          <cell r="BA60" t="str">
            <v>신아금속</v>
          </cell>
          <cell r="BB60" t="str">
            <v>H50A12K</v>
          </cell>
          <cell r="BC60" t="str">
            <v>H</v>
          </cell>
          <cell r="BD60" t="str">
            <v>K591</v>
          </cell>
          <cell r="BE60" t="str">
            <v>HR'</v>
          </cell>
          <cell r="BI60">
            <v>0</v>
          </cell>
          <cell r="BJ60">
            <v>456</v>
          </cell>
          <cell r="BK60">
            <v>0</v>
          </cell>
          <cell r="BL60">
            <v>3</v>
          </cell>
          <cell r="BM60"/>
          <cell r="BN60"/>
          <cell r="BO60">
            <v>0</v>
          </cell>
          <cell r="BP60"/>
          <cell r="BQ60"/>
          <cell r="BR60"/>
          <cell r="BS60"/>
          <cell r="BT60"/>
          <cell r="BU60"/>
          <cell r="BV60"/>
          <cell r="BW60"/>
          <cell r="BX60"/>
          <cell r="BY60"/>
          <cell r="BZ60"/>
          <cell r="CA60"/>
          <cell r="CB60"/>
          <cell r="CC60"/>
          <cell r="CD60"/>
          <cell r="CE60"/>
          <cell r="CF60"/>
          <cell r="CG60"/>
          <cell r="CH60"/>
          <cell r="CI60"/>
          <cell r="CJ60"/>
          <cell r="CK60"/>
          <cell r="CL60"/>
          <cell r="CM60"/>
        </row>
        <row r="61">
          <cell r="C61">
            <v>2584</v>
          </cell>
          <cell r="D61" t="str">
            <v>MB250019B</v>
          </cell>
          <cell r="E61" t="str">
            <v xml:space="preserve"> C/MBR ASS'Y,FRT SEAT LH</v>
          </cell>
          <cell r="G61">
            <v>1</v>
          </cell>
          <cell r="AZ61" t="str">
            <v>B</v>
          </cell>
          <cell r="BA61" t="str">
            <v>신아금속</v>
          </cell>
          <cell r="BB61" t="str">
            <v>H50A11K</v>
          </cell>
          <cell r="BD61" t="str">
            <v>K591</v>
          </cell>
          <cell r="BE61" t="str">
            <v>ALL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/>
          <cell r="BN61"/>
          <cell r="BO61">
            <v>0</v>
          </cell>
          <cell r="BP61"/>
          <cell r="BQ61"/>
          <cell r="BR61"/>
          <cell r="BS61"/>
          <cell r="BT61"/>
          <cell r="BU61"/>
          <cell r="BV61"/>
          <cell r="BW61"/>
          <cell r="BX61"/>
          <cell r="BY61"/>
          <cell r="BZ61"/>
          <cell r="CA61"/>
          <cell r="CB61"/>
          <cell r="CC61"/>
          <cell r="CD61"/>
          <cell r="CE61"/>
          <cell r="CF61"/>
          <cell r="CG61"/>
          <cell r="CH61"/>
          <cell r="CI61"/>
          <cell r="CJ61"/>
          <cell r="CK61"/>
        </row>
        <row r="62">
          <cell r="C62">
            <v>2584</v>
          </cell>
          <cell r="D62" t="str">
            <v>MB250020B</v>
          </cell>
          <cell r="E62" t="str">
            <v xml:space="preserve"> C/MBR ASS'Y,FRT SEAT RH</v>
          </cell>
          <cell r="G62">
            <v>1</v>
          </cell>
          <cell r="AZ62" t="str">
            <v>B</v>
          </cell>
          <cell r="BA62" t="str">
            <v>신아금속</v>
          </cell>
          <cell r="BB62" t="str">
            <v>H50A11K</v>
          </cell>
          <cell r="BD62" t="str">
            <v>K591</v>
          </cell>
          <cell r="BE62" t="str">
            <v>ALL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/>
          <cell r="BN62"/>
          <cell r="BO62">
            <v>0</v>
          </cell>
          <cell r="BP62"/>
          <cell r="BQ62"/>
          <cell r="BR62"/>
          <cell r="BS62"/>
          <cell r="BT62"/>
          <cell r="BU62"/>
          <cell r="BV62"/>
          <cell r="BW62"/>
          <cell r="BX62"/>
          <cell r="BY62"/>
          <cell r="BZ62"/>
          <cell r="CA62"/>
          <cell r="CB62"/>
          <cell r="CC62"/>
          <cell r="CD62"/>
          <cell r="CE62"/>
          <cell r="CF62"/>
          <cell r="CG62"/>
          <cell r="CH62"/>
          <cell r="CI62"/>
          <cell r="CJ62"/>
          <cell r="CK62"/>
        </row>
        <row r="63">
          <cell r="C63">
            <v>1384</v>
          </cell>
          <cell r="D63" t="str">
            <v>MB250029</v>
          </cell>
          <cell r="E63" t="str">
            <v xml:space="preserve"> REINF,FRT FLR</v>
          </cell>
          <cell r="H63">
            <v>2</v>
          </cell>
          <cell r="L63">
            <v>2</v>
          </cell>
          <cell r="M63">
            <v>2</v>
          </cell>
          <cell r="N63">
            <v>2</v>
          </cell>
          <cell r="P63">
            <v>2</v>
          </cell>
          <cell r="R63">
            <v>2</v>
          </cell>
          <cell r="U63">
            <v>2</v>
          </cell>
          <cell r="W63">
            <v>2</v>
          </cell>
          <cell r="AB63">
            <v>2</v>
          </cell>
          <cell r="AC63">
            <v>2</v>
          </cell>
          <cell r="AD63">
            <v>2</v>
          </cell>
          <cell r="AF63">
            <v>2</v>
          </cell>
          <cell r="AG63"/>
          <cell r="AH63">
            <v>2</v>
          </cell>
          <cell r="AI63"/>
          <cell r="AJ63"/>
          <cell r="AK63"/>
          <cell r="AL63">
            <v>2</v>
          </cell>
          <cell r="AM63">
            <v>2</v>
          </cell>
          <cell r="AN63">
            <v>2</v>
          </cell>
          <cell r="AO63">
            <v>2</v>
          </cell>
          <cell r="AP63">
            <v>2</v>
          </cell>
          <cell r="AQ63"/>
          <cell r="AR63"/>
          <cell r="AS63"/>
          <cell r="AT63"/>
          <cell r="AU63"/>
          <cell r="AV63"/>
          <cell r="AW63">
            <v>2</v>
          </cell>
          <cell r="AX63"/>
          <cell r="AY63"/>
          <cell r="AZ63" t="str">
            <v>B</v>
          </cell>
          <cell r="BA63" t="str">
            <v>신아금속</v>
          </cell>
          <cell r="BB63" t="str">
            <v>H50A11K</v>
          </cell>
          <cell r="BC63"/>
          <cell r="BD63" t="str">
            <v>K591</v>
          </cell>
          <cell r="BE63" t="str">
            <v>S/B</v>
          </cell>
          <cell r="BF63"/>
          <cell r="BG63"/>
          <cell r="BH63"/>
          <cell r="BI63">
            <v>98</v>
          </cell>
          <cell r="BJ63">
            <v>1078</v>
          </cell>
          <cell r="BK63">
            <v>56</v>
          </cell>
          <cell r="BL63">
            <v>4</v>
          </cell>
          <cell r="BM63"/>
          <cell r="BN63"/>
          <cell r="BO63">
            <v>0</v>
          </cell>
          <cell r="BP63"/>
          <cell r="BQ63"/>
          <cell r="BR63"/>
          <cell r="BS63"/>
          <cell r="BT63"/>
          <cell r="BU63"/>
          <cell r="BV63"/>
          <cell r="BW63"/>
          <cell r="BX63"/>
          <cell r="BY63"/>
          <cell r="BZ63"/>
          <cell r="CA63"/>
          <cell r="CB63"/>
          <cell r="CC63"/>
          <cell r="CD63"/>
          <cell r="CE63"/>
          <cell r="CF63"/>
          <cell r="CG63"/>
          <cell r="CH63"/>
          <cell r="CI63"/>
          <cell r="CJ63"/>
          <cell r="CK63"/>
          <cell r="CL63"/>
          <cell r="CM63"/>
          <cell r="CN63"/>
          <cell r="CO63"/>
          <cell r="CP63"/>
        </row>
        <row r="64">
          <cell r="C64">
            <v>139</v>
          </cell>
          <cell r="D64" t="str">
            <v>MB250066A</v>
          </cell>
          <cell r="E64" t="str">
            <v xml:space="preserve"> EXT RR FLOOR</v>
          </cell>
          <cell r="H64">
            <v>1</v>
          </cell>
          <cell r="L64">
            <v>1</v>
          </cell>
          <cell r="M64">
            <v>1</v>
          </cell>
          <cell r="N64">
            <v>1</v>
          </cell>
          <cell r="P64">
            <v>1</v>
          </cell>
          <cell r="U64">
            <v>1</v>
          </cell>
          <cell r="AC64">
            <v>1</v>
          </cell>
          <cell r="AD64">
            <v>1</v>
          </cell>
          <cell r="AF64">
            <v>1</v>
          </cell>
          <cell r="AG64"/>
          <cell r="AH64"/>
          <cell r="AI64"/>
          <cell r="AJ64"/>
          <cell r="AK64"/>
          <cell r="AL64">
            <v>1</v>
          </cell>
          <cell r="AM64">
            <v>1</v>
          </cell>
          <cell r="AN64"/>
          <cell r="AO64">
            <v>1</v>
          </cell>
          <cell r="AP64"/>
          <cell r="AQ64"/>
          <cell r="AR64"/>
          <cell r="AS64"/>
          <cell r="AT64"/>
          <cell r="AU64"/>
          <cell r="AV64"/>
          <cell r="AW64"/>
          <cell r="AX64"/>
          <cell r="AY64"/>
          <cell r="AZ64" t="str">
            <v>B</v>
          </cell>
          <cell r="BA64" t="str">
            <v>신아금속</v>
          </cell>
          <cell r="BB64" t="str">
            <v>H50A12K</v>
          </cell>
          <cell r="BC64"/>
          <cell r="BD64" t="str">
            <v>K591</v>
          </cell>
          <cell r="BE64" t="str">
            <v>DSL S/B</v>
          </cell>
          <cell r="BF64"/>
          <cell r="BG64"/>
          <cell r="BH64"/>
          <cell r="BI64">
            <v>49</v>
          </cell>
          <cell r="BJ64">
            <v>0</v>
          </cell>
          <cell r="BK64">
            <v>21</v>
          </cell>
          <cell r="BL64">
            <v>0</v>
          </cell>
          <cell r="BM64"/>
          <cell r="BN64"/>
          <cell r="BO64">
            <v>0</v>
          </cell>
          <cell r="BP64"/>
          <cell r="BQ64"/>
          <cell r="BR64"/>
          <cell r="BS64"/>
          <cell r="BT64"/>
          <cell r="BU64"/>
          <cell r="BV64"/>
          <cell r="BW64"/>
          <cell r="BX64"/>
          <cell r="BY64"/>
          <cell r="BZ64"/>
          <cell r="CA64"/>
          <cell r="CB64"/>
          <cell r="CC64"/>
          <cell r="CD64"/>
          <cell r="CE64"/>
          <cell r="CF64"/>
          <cell r="CG64"/>
          <cell r="CH64"/>
          <cell r="CI64"/>
          <cell r="CJ64"/>
          <cell r="CK64"/>
          <cell r="CL64"/>
          <cell r="CM64"/>
          <cell r="CN64"/>
          <cell r="CO64"/>
          <cell r="CP64"/>
        </row>
        <row r="65">
          <cell r="C65">
            <v>1776</v>
          </cell>
          <cell r="D65" t="str">
            <v>MB250080A</v>
          </cell>
          <cell r="E65" t="str">
            <v xml:space="preserve"> C/MBR,RR FLOOR</v>
          </cell>
          <cell r="F65" t="str">
            <v>-973A</v>
          </cell>
          <cell r="I65">
            <v>1</v>
          </cell>
          <cell r="J65">
            <v>1</v>
          </cell>
          <cell r="K65">
            <v>1</v>
          </cell>
          <cell r="O65">
            <v>1</v>
          </cell>
          <cell r="Q65">
            <v>1</v>
          </cell>
          <cell r="S65">
            <v>1</v>
          </cell>
          <cell r="T65">
            <v>1</v>
          </cell>
          <cell r="V65">
            <v>1</v>
          </cell>
          <cell r="Y65">
            <v>1</v>
          </cell>
          <cell r="Z65">
            <v>1</v>
          </cell>
          <cell r="AA65">
            <v>1</v>
          </cell>
          <cell r="AG65">
            <v>1</v>
          </cell>
          <cell r="AJ65">
            <v>1</v>
          </cell>
          <cell r="AK65">
            <v>1</v>
          </cell>
          <cell r="AQ65">
            <v>1</v>
          </cell>
          <cell r="AS65">
            <v>1</v>
          </cell>
          <cell r="AU65">
            <v>1</v>
          </cell>
          <cell r="AV65">
            <v>1</v>
          </cell>
          <cell r="AX65">
            <v>1</v>
          </cell>
          <cell r="AZ65" t="str">
            <v>B</v>
          </cell>
          <cell r="BA65" t="str">
            <v>신아금속</v>
          </cell>
          <cell r="BB65" t="str">
            <v>H50A12K</v>
          </cell>
          <cell r="BD65" t="str">
            <v>K591</v>
          </cell>
          <cell r="BI65">
            <v>888</v>
          </cell>
          <cell r="BJ65">
            <v>456</v>
          </cell>
          <cell r="BK65">
            <v>37</v>
          </cell>
          <cell r="BL65">
            <v>56</v>
          </cell>
          <cell r="BM65"/>
          <cell r="BN65"/>
          <cell r="BO65">
            <v>0</v>
          </cell>
          <cell r="BP65"/>
          <cell r="BQ65"/>
          <cell r="BR65"/>
          <cell r="BS65"/>
          <cell r="BT65"/>
          <cell r="BU65"/>
          <cell r="BV65"/>
          <cell r="BW65"/>
          <cell r="BX65"/>
          <cell r="BY65"/>
          <cell r="BZ65"/>
          <cell r="CA65"/>
          <cell r="CB65"/>
          <cell r="CC65"/>
          <cell r="CD65"/>
          <cell r="CE65"/>
          <cell r="CF65"/>
          <cell r="CG65"/>
          <cell r="CH65"/>
          <cell r="CI65"/>
          <cell r="CJ65"/>
          <cell r="CK65"/>
          <cell r="CL65"/>
          <cell r="CM65"/>
        </row>
        <row r="66">
          <cell r="C66">
            <v>692</v>
          </cell>
          <cell r="D66" t="str">
            <v>MB250090A</v>
          </cell>
          <cell r="E66" t="str">
            <v xml:space="preserve"> C/MBR,RR FLOOR,RR</v>
          </cell>
          <cell r="H66">
            <v>1</v>
          </cell>
          <cell r="L66">
            <v>1</v>
          </cell>
          <cell r="M66">
            <v>1</v>
          </cell>
          <cell r="N66">
            <v>1</v>
          </cell>
          <cell r="P66">
            <v>1</v>
          </cell>
          <cell r="R66">
            <v>1</v>
          </cell>
          <cell r="U66">
            <v>1</v>
          </cell>
          <cell r="W66">
            <v>1</v>
          </cell>
          <cell r="AC66">
            <v>1</v>
          </cell>
          <cell r="AD66">
            <v>1</v>
          </cell>
          <cell r="AF66">
            <v>1</v>
          </cell>
          <cell r="AG66"/>
          <cell r="AH66">
            <v>1</v>
          </cell>
          <cell r="AI66"/>
          <cell r="AJ66"/>
          <cell r="AK66"/>
          <cell r="AL66">
            <v>1</v>
          </cell>
          <cell r="AM66">
            <v>1</v>
          </cell>
          <cell r="AN66">
            <v>1</v>
          </cell>
          <cell r="AO66">
            <v>1</v>
          </cell>
          <cell r="AP66">
            <v>1</v>
          </cell>
          <cell r="AQ66"/>
          <cell r="AR66"/>
          <cell r="AS66"/>
          <cell r="AT66"/>
          <cell r="AU66"/>
          <cell r="AV66"/>
          <cell r="AW66">
            <v>1</v>
          </cell>
          <cell r="AX66"/>
          <cell r="AY66"/>
          <cell r="AZ66" t="str">
            <v>B</v>
          </cell>
          <cell r="BA66" t="str">
            <v>신아금속</v>
          </cell>
          <cell r="BB66" t="str">
            <v>H50A12K</v>
          </cell>
          <cell r="BC66" t="str">
            <v>-HC000164L/B미적용</v>
          </cell>
          <cell r="BD66" t="str">
            <v>K591</v>
          </cell>
          <cell r="BE66" t="str">
            <v>S/B</v>
          </cell>
          <cell r="BF66"/>
          <cell r="BG66"/>
          <cell r="BH66"/>
          <cell r="BI66">
            <v>49</v>
          </cell>
          <cell r="BJ66">
            <v>539</v>
          </cell>
          <cell r="BK66">
            <v>28</v>
          </cell>
          <cell r="BL66">
            <v>2</v>
          </cell>
          <cell r="BM66"/>
          <cell r="BN66"/>
          <cell r="BO66">
            <v>0</v>
          </cell>
          <cell r="BP66"/>
          <cell r="BQ66"/>
          <cell r="BR66"/>
          <cell r="BS66"/>
          <cell r="BT66"/>
          <cell r="BU66"/>
          <cell r="BV66"/>
          <cell r="BW66"/>
          <cell r="BX66"/>
          <cell r="BY66"/>
          <cell r="BZ66"/>
          <cell r="CA66"/>
          <cell r="CB66"/>
          <cell r="CC66"/>
          <cell r="CD66"/>
          <cell r="CE66"/>
          <cell r="CF66"/>
          <cell r="CG66"/>
          <cell r="CH66"/>
          <cell r="CI66"/>
          <cell r="CJ66"/>
          <cell r="CK66"/>
          <cell r="CL66"/>
          <cell r="CM66"/>
          <cell r="CN66"/>
          <cell r="CO66"/>
          <cell r="CP66"/>
        </row>
        <row r="67">
          <cell r="C67">
            <v>692</v>
          </cell>
          <cell r="D67" t="str">
            <v>MB250630A</v>
          </cell>
          <cell r="E67" t="str">
            <v xml:space="preserve"> PANEL,TOOL BOX LID</v>
          </cell>
          <cell r="H67">
            <v>1</v>
          </cell>
          <cell r="L67">
            <v>1</v>
          </cell>
          <cell r="M67">
            <v>1</v>
          </cell>
          <cell r="N67">
            <v>1</v>
          </cell>
          <cell r="P67">
            <v>1</v>
          </cell>
          <cell r="R67">
            <v>1</v>
          </cell>
          <cell r="U67">
            <v>1</v>
          </cell>
          <cell r="W67">
            <v>1</v>
          </cell>
          <cell r="AB67">
            <v>1</v>
          </cell>
          <cell r="AC67">
            <v>1</v>
          </cell>
          <cell r="AD67">
            <v>1</v>
          </cell>
          <cell r="AF67">
            <v>1</v>
          </cell>
          <cell r="AG67"/>
          <cell r="AH67">
            <v>1</v>
          </cell>
          <cell r="AI67"/>
          <cell r="AJ67"/>
          <cell r="AK67"/>
          <cell r="AL67">
            <v>1</v>
          </cell>
          <cell r="AM67">
            <v>1</v>
          </cell>
          <cell r="AN67">
            <v>1</v>
          </cell>
          <cell r="AO67">
            <v>1</v>
          </cell>
          <cell r="AP67">
            <v>1</v>
          </cell>
          <cell r="AQ67"/>
          <cell r="AR67"/>
          <cell r="AS67"/>
          <cell r="AT67"/>
          <cell r="AU67"/>
          <cell r="AV67"/>
          <cell r="AW67">
            <v>1</v>
          </cell>
          <cell r="AX67"/>
          <cell r="AY67"/>
          <cell r="AZ67" t="str">
            <v>B</v>
          </cell>
          <cell r="BA67" t="str">
            <v>신아금속</v>
          </cell>
          <cell r="BB67" t="str">
            <v>H50B38K</v>
          </cell>
          <cell r="BC67"/>
          <cell r="BD67" t="str">
            <v>K591</v>
          </cell>
          <cell r="BE67" t="str">
            <v>S/B</v>
          </cell>
          <cell r="BF67"/>
          <cell r="BG67"/>
          <cell r="BH67"/>
          <cell r="BI67">
            <v>49</v>
          </cell>
          <cell r="BJ67">
            <v>539</v>
          </cell>
          <cell r="BK67">
            <v>28</v>
          </cell>
          <cell r="BL67">
            <v>2</v>
          </cell>
          <cell r="BM67"/>
          <cell r="BN67"/>
          <cell r="BO67">
            <v>0</v>
          </cell>
          <cell r="BP67"/>
          <cell r="BQ67"/>
          <cell r="BR67"/>
          <cell r="BS67"/>
          <cell r="BT67"/>
          <cell r="BU67"/>
          <cell r="BV67"/>
          <cell r="BW67"/>
          <cell r="BX67"/>
          <cell r="BY67"/>
          <cell r="BZ67"/>
          <cell r="CA67"/>
          <cell r="CB67"/>
          <cell r="CC67"/>
          <cell r="CD67"/>
          <cell r="CE67"/>
          <cell r="CF67"/>
          <cell r="CG67"/>
          <cell r="CH67"/>
          <cell r="CI67"/>
          <cell r="CJ67"/>
          <cell r="CK67"/>
          <cell r="CL67"/>
          <cell r="CM67"/>
          <cell r="CN67"/>
          <cell r="CO67"/>
          <cell r="CP67"/>
        </row>
        <row r="68">
          <cell r="B68"/>
          <cell r="C68">
            <v>3784</v>
          </cell>
          <cell r="D68" t="str">
            <v>MB274990A</v>
          </cell>
          <cell r="E68" t="str">
            <v xml:space="preserve"> PANEL,TOOL BOX LID</v>
          </cell>
          <cell r="I68">
            <v>2</v>
          </cell>
          <cell r="J68">
            <v>2</v>
          </cell>
          <cell r="K68">
            <v>2</v>
          </cell>
          <cell r="O68">
            <v>2</v>
          </cell>
          <cell r="Q68">
            <v>2</v>
          </cell>
          <cell r="S68">
            <v>2</v>
          </cell>
          <cell r="T68">
            <v>2</v>
          </cell>
          <cell r="V68">
            <v>2</v>
          </cell>
          <cell r="X68">
            <v>2</v>
          </cell>
          <cell r="Y68">
            <v>2</v>
          </cell>
          <cell r="Z68">
            <v>2</v>
          </cell>
          <cell r="AA68">
            <v>2</v>
          </cell>
          <cell r="AE68">
            <v>2</v>
          </cell>
          <cell r="AG68">
            <v>2</v>
          </cell>
          <cell r="AI68">
            <v>2</v>
          </cell>
          <cell r="AJ68">
            <v>2</v>
          </cell>
          <cell r="AK68">
            <v>2</v>
          </cell>
          <cell r="AQ68">
            <v>2</v>
          </cell>
          <cell r="AR68">
            <v>2</v>
          </cell>
          <cell r="AS68">
            <v>2</v>
          </cell>
          <cell r="AT68">
            <v>2</v>
          </cell>
          <cell r="AU68">
            <v>2</v>
          </cell>
          <cell r="AV68">
            <v>2</v>
          </cell>
          <cell r="AX68">
            <v>2</v>
          </cell>
          <cell r="AY68">
            <v>2</v>
          </cell>
          <cell r="AZ68" t="str">
            <v>B</v>
          </cell>
          <cell r="BA68" t="str">
            <v>신아금속</v>
          </cell>
          <cell r="BB68" t="str">
            <v>H50B38K</v>
          </cell>
          <cell r="BD68" t="str">
            <v>K591</v>
          </cell>
          <cell r="BI68">
            <v>1776</v>
          </cell>
          <cell r="BJ68">
            <v>916</v>
          </cell>
          <cell r="BK68">
            <v>180</v>
          </cell>
          <cell r="BL68">
            <v>200</v>
          </cell>
          <cell r="BM68"/>
          <cell r="BN68"/>
          <cell r="BO68">
            <v>0</v>
          </cell>
          <cell r="BP68"/>
          <cell r="BQ68"/>
          <cell r="BR68"/>
          <cell r="BS68"/>
          <cell r="BT68"/>
          <cell r="BU68"/>
          <cell r="BV68"/>
          <cell r="BW68"/>
          <cell r="BX68"/>
          <cell r="BY68"/>
          <cell r="BZ68"/>
          <cell r="CA68"/>
          <cell r="CB68"/>
          <cell r="CC68"/>
          <cell r="CD68"/>
          <cell r="CE68"/>
          <cell r="CF68"/>
          <cell r="CG68"/>
          <cell r="CH68"/>
          <cell r="CI68"/>
          <cell r="CJ68"/>
          <cell r="CK68"/>
          <cell r="CL68"/>
          <cell r="CM68"/>
          <cell r="CN68"/>
          <cell r="CO68"/>
          <cell r="CP68"/>
          <cell r="CQ68"/>
          <cell r="CR68"/>
          <cell r="CT68"/>
        </row>
        <row r="69">
          <cell r="B69"/>
          <cell r="C69">
            <v>1410</v>
          </cell>
          <cell r="D69" t="str">
            <v>MB275004B</v>
          </cell>
          <cell r="E69" t="str">
            <v xml:space="preserve"> EXT,RR FLOOR,RR</v>
          </cell>
          <cell r="F69" t="str">
            <v>-972B</v>
          </cell>
          <cell r="I69">
            <v>1</v>
          </cell>
          <cell r="J69">
            <v>1</v>
          </cell>
          <cell r="K69">
            <v>1</v>
          </cell>
          <cell r="O69">
            <v>1</v>
          </cell>
          <cell r="Q69">
            <v>1</v>
          </cell>
          <cell r="V69">
            <v>1</v>
          </cell>
          <cell r="X69">
            <v>1</v>
          </cell>
          <cell r="AE69">
            <v>1</v>
          </cell>
          <cell r="AG69">
            <v>1</v>
          </cell>
          <cell r="AI69">
            <v>1</v>
          </cell>
          <cell r="AJ69">
            <v>1</v>
          </cell>
          <cell r="AK69">
            <v>1</v>
          </cell>
          <cell r="AQ69">
            <v>1</v>
          </cell>
          <cell r="AR69">
            <v>1</v>
          </cell>
          <cell r="AS69">
            <v>1</v>
          </cell>
          <cell r="AT69">
            <v>1</v>
          </cell>
          <cell r="AX69">
            <v>1</v>
          </cell>
          <cell r="AY69">
            <v>1</v>
          </cell>
          <cell r="AZ69" t="str">
            <v>B</v>
          </cell>
          <cell r="BA69" t="str">
            <v>신아금속</v>
          </cell>
          <cell r="BB69" t="str">
            <v>H50A12K</v>
          </cell>
          <cell r="BC69" t="str">
            <v>MB591525A</v>
          </cell>
          <cell r="BD69" t="str">
            <v>K591</v>
          </cell>
          <cell r="BE69" t="str">
            <v>2</v>
          </cell>
          <cell r="BI69">
            <v>888</v>
          </cell>
          <cell r="BJ69">
            <v>2</v>
          </cell>
          <cell r="BK69">
            <v>90</v>
          </cell>
          <cell r="BL69">
            <v>97</v>
          </cell>
          <cell r="BM69"/>
          <cell r="BN69"/>
          <cell r="BO69">
            <v>0</v>
          </cell>
          <cell r="BP69"/>
          <cell r="BQ69"/>
          <cell r="BR69"/>
          <cell r="BS69"/>
          <cell r="BT69"/>
          <cell r="BU69"/>
          <cell r="BV69"/>
          <cell r="BW69"/>
          <cell r="BX69"/>
          <cell r="BY69"/>
          <cell r="BZ69"/>
          <cell r="CA69"/>
          <cell r="CB69"/>
          <cell r="CC69"/>
          <cell r="CD69"/>
          <cell r="CE69"/>
          <cell r="CF69"/>
          <cell r="CG69"/>
          <cell r="CH69"/>
          <cell r="CI69"/>
          <cell r="CJ69"/>
          <cell r="CK69"/>
          <cell r="CL69"/>
          <cell r="CM69"/>
          <cell r="CN69"/>
          <cell r="CO69"/>
          <cell r="CP69"/>
          <cell r="CQ69"/>
        </row>
        <row r="70">
          <cell r="C70">
            <v>1892</v>
          </cell>
          <cell r="D70" t="str">
            <v>MB275042A</v>
          </cell>
          <cell r="E70" t="str">
            <v xml:space="preserve"> BOX ASS'Y TOOL</v>
          </cell>
          <cell r="I70">
            <v>1</v>
          </cell>
          <cell r="J70">
            <v>1</v>
          </cell>
          <cell r="K70">
            <v>1</v>
          </cell>
          <cell r="O70">
            <v>1</v>
          </cell>
          <cell r="Q70">
            <v>1</v>
          </cell>
          <cell r="S70">
            <v>1</v>
          </cell>
          <cell r="T70">
            <v>1</v>
          </cell>
          <cell r="V70">
            <v>1</v>
          </cell>
          <cell r="X70">
            <v>1</v>
          </cell>
          <cell r="Y70">
            <v>1</v>
          </cell>
          <cell r="Z70">
            <v>1</v>
          </cell>
          <cell r="AA70">
            <v>1</v>
          </cell>
          <cell r="AE70">
            <v>1</v>
          </cell>
          <cell r="AG70">
            <v>1</v>
          </cell>
          <cell r="AI70">
            <v>1</v>
          </cell>
          <cell r="AJ70">
            <v>1</v>
          </cell>
          <cell r="AK70">
            <v>1</v>
          </cell>
          <cell r="AQ70">
            <v>1</v>
          </cell>
          <cell r="AR70">
            <v>1</v>
          </cell>
          <cell r="AS70">
            <v>1</v>
          </cell>
          <cell r="AT70">
            <v>1</v>
          </cell>
          <cell r="AU70">
            <v>1</v>
          </cell>
          <cell r="AV70">
            <v>1</v>
          </cell>
          <cell r="AX70">
            <v>1</v>
          </cell>
          <cell r="AY70">
            <v>1</v>
          </cell>
          <cell r="AZ70" t="str">
            <v>B</v>
          </cell>
          <cell r="BA70" t="str">
            <v>신아금속</v>
          </cell>
          <cell r="BB70" t="str">
            <v>H50A11K</v>
          </cell>
          <cell r="BD70" t="str">
            <v>K591</v>
          </cell>
          <cell r="BI70">
            <v>888</v>
          </cell>
          <cell r="BJ70">
            <v>458</v>
          </cell>
          <cell r="BK70">
            <v>90</v>
          </cell>
          <cell r="BL70">
            <v>100</v>
          </cell>
          <cell r="BM70"/>
          <cell r="BN70"/>
          <cell r="BO70">
            <v>0</v>
          </cell>
          <cell r="BP70"/>
          <cell r="BQ70"/>
          <cell r="BR70"/>
          <cell r="BS70"/>
          <cell r="BT70"/>
          <cell r="BU70"/>
          <cell r="BV70"/>
          <cell r="BW70"/>
          <cell r="BX70"/>
          <cell r="BY70"/>
          <cell r="BZ70"/>
          <cell r="CA70"/>
          <cell r="CB70"/>
          <cell r="CC70"/>
          <cell r="CD70"/>
          <cell r="CE70"/>
          <cell r="CF70"/>
          <cell r="CG70"/>
          <cell r="CH70"/>
          <cell r="CI70"/>
          <cell r="CJ70"/>
          <cell r="CK70"/>
          <cell r="CL70"/>
          <cell r="CM70"/>
          <cell r="CN70"/>
          <cell r="CO70"/>
          <cell r="CP70"/>
          <cell r="CQ70"/>
        </row>
        <row r="71">
          <cell r="C71">
            <v>678</v>
          </cell>
          <cell r="D71" t="str">
            <v>MB275217A</v>
          </cell>
          <cell r="E71" t="str">
            <v xml:space="preserve"> C/MBR,RR FLOOR</v>
          </cell>
          <cell r="H71">
            <v>1</v>
          </cell>
          <cell r="L71">
            <v>1</v>
          </cell>
          <cell r="M71">
            <v>1</v>
          </cell>
          <cell r="N71">
            <v>1</v>
          </cell>
          <cell r="P71">
            <v>1</v>
          </cell>
          <cell r="R71">
            <v>1</v>
          </cell>
          <cell r="U71">
            <v>1</v>
          </cell>
          <cell r="AB71">
            <v>1</v>
          </cell>
          <cell r="AC71">
            <v>1</v>
          </cell>
          <cell r="AD71">
            <v>1</v>
          </cell>
          <cell r="AF71">
            <v>1</v>
          </cell>
          <cell r="AG71"/>
          <cell r="AH71"/>
          <cell r="AI71"/>
          <cell r="AJ71"/>
          <cell r="AK71"/>
          <cell r="AL71">
            <v>1</v>
          </cell>
          <cell r="AM71">
            <v>1</v>
          </cell>
          <cell r="AN71"/>
          <cell r="AO71">
            <v>1</v>
          </cell>
          <cell r="AP71"/>
          <cell r="AQ71"/>
          <cell r="AR71"/>
          <cell r="AS71"/>
          <cell r="AT71"/>
          <cell r="AU71"/>
          <cell r="AV71"/>
          <cell r="AW71"/>
          <cell r="AX71"/>
          <cell r="AY71"/>
          <cell r="AZ71" t="str">
            <v>B</v>
          </cell>
          <cell r="BA71" t="str">
            <v>신아금속</v>
          </cell>
          <cell r="BB71" t="str">
            <v>H50A12K</v>
          </cell>
          <cell r="BC71"/>
          <cell r="BD71" t="str">
            <v>K591</v>
          </cell>
          <cell r="BE71" t="str">
            <v>DSL S/B</v>
          </cell>
          <cell r="BF71"/>
          <cell r="BG71"/>
          <cell r="BH71"/>
          <cell r="BI71">
            <v>49</v>
          </cell>
          <cell r="BJ71">
            <v>539</v>
          </cell>
          <cell r="BK71">
            <v>21</v>
          </cell>
          <cell r="BL71">
            <v>0</v>
          </cell>
          <cell r="BM71"/>
          <cell r="BN71"/>
          <cell r="BO71">
            <v>0</v>
          </cell>
          <cell r="BP71"/>
          <cell r="BQ71"/>
          <cell r="BR71"/>
          <cell r="BS71"/>
          <cell r="BT71"/>
          <cell r="BU71"/>
          <cell r="BV71"/>
          <cell r="BW71"/>
          <cell r="BX71"/>
          <cell r="BY71"/>
          <cell r="BZ71"/>
          <cell r="CA71"/>
          <cell r="CB71"/>
          <cell r="CC71"/>
          <cell r="CD71"/>
          <cell r="CE71"/>
          <cell r="CF71"/>
          <cell r="CG71"/>
          <cell r="CH71"/>
          <cell r="CI71"/>
          <cell r="CJ71"/>
          <cell r="CK71"/>
          <cell r="CL71"/>
          <cell r="CM71"/>
          <cell r="CN71"/>
          <cell r="CO71"/>
          <cell r="CP71"/>
        </row>
        <row r="72">
          <cell r="C72">
            <v>692</v>
          </cell>
          <cell r="D72" t="str">
            <v>MB275876A</v>
          </cell>
          <cell r="E72" t="str">
            <v xml:space="preserve"> PILLAR,CTR,INR,LWR ASSY RH</v>
          </cell>
          <cell r="H72">
            <v>1</v>
          </cell>
          <cell r="L72">
            <v>1</v>
          </cell>
          <cell r="M72">
            <v>1</v>
          </cell>
          <cell r="N72">
            <v>1</v>
          </cell>
          <cell r="P72">
            <v>1</v>
          </cell>
          <cell r="R72">
            <v>1</v>
          </cell>
          <cell r="U72">
            <v>1</v>
          </cell>
          <cell r="W72">
            <v>1</v>
          </cell>
          <cell r="AB72">
            <v>1</v>
          </cell>
          <cell r="AC72">
            <v>1</v>
          </cell>
          <cell r="AD72">
            <v>1</v>
          </cell>
          <cell r="AF72">
            <v>1</v>
          </cell>
          <cell r="AG72"/>
          <cell r="AH72">
            <v>1</v>
          </cell>
          <cell r="AI72"/>
          <cell r="AJ72"/>
          <cell r="AK72"/>
          <cell r="AL72">
            <v>1</v>
          </cell>
          <cell r="AM72">
            <v>1</v>
          </cell>
          <cell r="AN72">
            <v>1</v>
          </cell>
          <cell r="AO72">
            <v>1</v>
          </cell>
          <cell r="AP72">
            <v>1</v>
          </cell>
          <cell r="AQ72"/>
          <cell r="AR72"/>
          <cell r="AS72"/>
          <cell r="AT72"/>
          <cell r="AU72"/>
          <cell r="AV72"/>
          <cell r="AW72">
            <v>1</v>
          </cell>
          <cell r="AX72"/>
          <cell r="AY72"/>
          <cell r="AZ72" t="str">
            <v>B</v>
          </cell>
          <cell r="BA72" t="str">
            <v>신아금속</v>
          </cell>
          <cell r="BB72" t="str">
            <v>H50A17K</v>
          </cell>
          <cell r="BC72"/>
          <cell r="BD72" t="str">
            <v>K591</v>
          </cell>
          <cell r="BE72" t="str">
            <v>S/B</v>
          </cell>
          <cell r="BF72"/>
          <cell r="BG72"/>
          <cell r="BH72"/>
          <cell r="BI72">
            <v>49</v>
          </cell>
          <cell r="BJ72">
            <v>539</v>
          </cell>
          <cell r="BK72">
            <v>28</v>
          </cell>
          <cell r="BL72">
            <v>2</v>
          </cell>
          <cell r="BM72"/>
          <cell r="BN72"/>
          <cell r="BO72">
            <v>0</v>
          </cell>
          <cell r="BP72"/>
          <cell r="BQ72"/>
          <cell r="BR72"/>
          <cell r="BS72"/>
          <cell r="BT72"/>
          <cell r="BU72"/>
          <cell r="BV72"/>
          <cell r="BW72"/>
          <cell r="BX72"/>
          <cell r="BY72"/>
          <cell r="BZ72"/>
          <cell r="CA72"/>
          <cell r="CB72"/>
          <cell r="CC72"/>
          <cell r="CD72"/>
          <cell r="CE72"/>
          <cell r="CF72"/>
          <cell r="CG72"/>
          <cell r="CH72"/>
          <cell r="CI72"/>
          <cell r="CJ72"/>
          <cell r="CK72"/>
          <cell r="CL72"/>
          <cell r="CM72"/>
          <cell r="CN72"/>
          <cell r="CO72"/>
          <cell r="CP72"/>
        </row>
        <row r="73">
          <cell r="C73">
            <v>830</v>
          </cell>
          <cell r="D73" t="str">
            <v>MB591409A</v>
          </cell>
          <cell r="E73" t="str">
            <v xml:space="preserve"> BRKT,PK/BRK,LVR</v>
          </cell>
          <cell r="O73">
            <v>1</v>
          </cell>
          <cell r="Q73">
            <v>1</v>
          </cell>
          <cell r="X73">
            <v>1</v>
          </cell>
          <cell r="Z73">
            <v>1</v>
          </cell>
          <cell r="AE73">
            <v>1</v>
          </cell>
          <cell r="AI73">
            <v>1</v>
          </cell>
          <cell r="AR73">
            <v>1</v>
          </cell>
          <cell r="AS73">
            <v>1</v>
          </cell>
          <cell r="AT73">
            <v>1</v>
          </cell>
          <cell r="AY73">
            <v>1</v>
          </cell>
          <cell r="AZ73" t="str">
            <v>B</v>
          </cell>
          <cell r="BA73" t="str">
            <v>신아금속</v>
          </cell>
          <cell r="BB73" t="str">
            <v>H50A11K01-1,2,5^7,9^14,62,63</v>
          </cell>
          <cell r="BC73" t="str">
            <v>K21은A/T만</v>
          </cell>
          <cell r="BD73" t="str">
            <v>K591</v>
          </cell>
          <cell r="BE73" t="str">
            <v>S/B</v>
          </cell>
          <cell r="BI73">
            <v>397</v>
          </cell>
          <cell r="BJ73">
            <v>2</v>
          </cell>
          <cell r="BK73">
            <v>53</v>
          </cell>
          <cell r="BL73">
            <v>73</v>
          </cell>
          <cell r="BM73"/>
          <cell r="BN73"/>
          <cell r="BO73">
            <v>0</v>
          </cell>
          <cell r="BP73"/>
          <cell r="BQ73"/>
          <cell r="BR73"/>
          <cell r="BS73"/>
          <cell r="BT73"/>
          <cell r="BU73"/>
          <cell r="BV73"/>
          <cell r="BW73"/>
          <cell r="BX73"/>
          <cell r="BY73"/>
          <cell r="BZ73"/>
          <cell r="CA73"/>
          <cell r="CB73"/>
          <cell r="CC73"/>
          <cell r="CD73"/>
          <cell r="CE73"/>
          <cell r="CF73"/>
          <cell r="CG73"/>
          <cell r="CH73"/>
          <cell r="CI73"/>
          <cell r="CJ73"/>
          <cell r="CK73"/>
          <cell r="CL73"/>
          <cell r="CM73"/>
          <cell r="CN73"/>
          <cell r="CO73"/>
          <cell r="CP73"/>
          <cell r="CQ73"/>
        </row>
        <row r="74">
          <cell r="C74">
            <v>692</v>
          </cell>
          <cell r="D74" t="str">
            <v>HQ505214</v>
          </cell>
          <cell r="E74" t="str">
            <v xml:space="preserve"> BRKT,PK/BRK,LVR</v>
          </cell>
          <cell r="H74">
            <v>1</v>
          </cell>
          <cell r="L74">
            <v>1</v>
          </cell>
          <cell r="M74">
            <v>1</v>
          </cell>
          <cell r="N74">
            <v>1</v>
          </cell>
          <cell r="P74">
            <v>1</v>
          </cell>
          <cell r="R74">
            <v>1</v>
          </cell>
          <cell r="U74">
            <v>1</v>
          </cell>
          <cell r="W74">
            <v>1</v>
          </cell>
          <cell r="AB74">
            <v>1</v>
          </cell>
          <cell r="AC74">
            <v>1</v>
          </cell>
          <cell r="AD74">
            <v>1</v>
          </cell>
          <cell r="AF74">
            <v>1</v>
          </cell>
          <cell r="AG74"/>
          <cell r="AH74">
            <v>1</v>
          </cell>
          <cell r="AI74"/>
          <cell r="AJ74"/>
          <cell r="AK74"/>
          <cell r="AL74">
            <v>1</v>
          </cell>
          <cell r="AM74">
            <v>1</v>
          </cell>
          <cell r="AN74">
            <v>1</v>
          </cell>
          <cell r="AO74">
            <v>1</v>
          </cell>
          <cell r="AP74">
            <v>1</v>
          </cell>
          <cell r="AQ74"/>
          <cell r="AR74"/>
          <cell r="AS74"/>
          <cell r="AT74"/>
          <cell r="AU74"/>
          <cell r="AV74"/>
          <cell r="AW74">
            <v>1</v>
          </cell>
          <cell r="AX74"/>
          <cell r="AY74"/>
          <cell r="AZ74" t="str">
            <v>B</v>
          </cell>
          <cell r="BA74" t="str">
            <v>신아금속</v>
          </cell>
          <cell r="BB74" t="str">
            <v>H50A11K01-1,2,5^7,9^14,62,63</v>
          </cell>
          <cell r="BC74" t="str">
            <v>K21은A/T만</v>
          </cell>
          <cell r="BD74" t="str">
            <v>K591</v>
          </cell>
          <cell r="BE74" t="str">
            <v>S/B</v>
          </cell>
          <cell r="BF74"/>
          <cell r="BG74"/>
          <cell r="BH74"/>
          <cell r="BI74">
            <v>49</v>
          </cell>
          <cell r="BJ74">
            <v>539</v>
          </cell>
          <cell r="BK74">
            <v>28</v>
          </cell>
          <cell r="BL74">
            <v>2</v>
          </cell>
          <cell r="BM74"/>
          <cell r="BN74"/>
          <cell r="BO74">
            <v>0</v>
          </cell>
          <cell r="BP74"/>
          <cell r="BQ74"/>
          <cell r="BR74"/>
          <cell r="BS74"/>
          <cell r="BT74"/>
          <cell r="BU74"/>
          <cell r="BV74"/>
          <cell r="BW74"/>
          <cell r="BX74"/>
          <cell r="BY74"/>
          <cell r="BZ74"/>
          <cell r="CA74"/>
          <cell r="CB74"/>
          <cell r="CC74"/>
          <cell r="CD74"/>
          <cell r="CE74"/>
          <cell r="CF74"/>
          <cell r="CG74"/>
          <cell r="CH74"/>
          <cell r="CI74"/>
          <cell r="CJ74"/>
          <cell r="CK74"/>
          <cell r="CL74"/>
          <cell r="CM74"/>
          <cell r="CN74"/>
          <cell r="CO74"/>
          <cell r="CP74"/>
        </row>
        <row r="75">
          <cell r="C75">
            <v>1357</v>
          </cell>
          <cell r="D75" t="str">
            <v>MB591525B</v>
          </cell>
          <cell r="E75" t="str">
            <v xml:space="preserve"> EXT,RR FLR RR</v>
          </cell>
          <cell r="F75" t="str">
            <v>+RR HTR</v>
          </cell>
          <cell r="J75">
            <v>1</v>
          </cell>
          <cell r="K75">
            <v>1</v>
          </cell>
          <cell r="O75">
            <v>1</v>
          </cell>
          <cell r="Q75">
            <v>1</v>
          </cell>
          <cell r="X75">
            <v>1</v>
          </cell>
          <cell r="AE75">
            <v>1</v>
          </cell>
          <cell r="AI75">
            <v>1</v>
          </cell>
          <cell r="AJ75">
            <v>1</v>
          </cell>
          <cell r="AQ75">
            <v>1</v>
          </cell>
          <cell r="AR75">
            <v>1</v>
          </cell>
          <cell r="AS75">
            <v>1</v>
          </cell>
          <cell r="AT75">
            <v>1</v>
          </cell>
          <cell r="AX75">
            <v>1</v>
          </cell>
          <cell r="AZ75" t="str">
            <v>B</v>
          </cell>
          <cell r="BA75" t="str">
            <v>신아금속</v>
          </cell>
          <cell r="BB75" t="str">
            <v>H50A12K</v>
          </cell>
          <cell r="BC75" t="str">
            <v>MB591525A</v>
          </cell>
          <cell r="BD75" t="str">
            <v>K591</v>
          </cell>
          <cell r="BI75">
            <v>868</v>
          </cell>
          <cell r="BJ75">
            <v>2</v>
          </cell>
          <cell r="BK75">
            <v>89</v>
          </cell>
          <cell r="BL75">
            <v>65</v>
          </cell>
          <cell r="BM75"/>
          <cell r="BN75"/>
          <cell r="BO75">
            <v>0</v>
          </cell>
          <cell r="BP75"/>
          <cell r="BQ75"/>
          <cell r="BR75"/>
          <cell r="BS75"/>
          <cell r="BT75"/>
          <cell r="BU75"/>
          <cell r="BV75"/>
          <cell r="BW75"/>
          <cell r="BX75"/>
          <cell r="BY75"/>
          <cell r="BZ75"/>
          <cell r="CA75"/>
          <cell r="CB75"/>
          <cell r="CC75"/>
          <cell r="CD75"/>
          <cell r="CE75"/>
          <cell r="CF75"/>
          <cell r="CG75"/>
          <cell r="CH75"/>
          <cell r="CI75"/>
          <cell r="CJ75"/>
          <cell r="CK75"/>
          <cell r="CL75"/>
          <cell r="CM75"/>
          <cell r="CN75"/>
          <cell r="CO75"/>
          <cell r="CP75"/>
          <cell r="CQ75"/>
        </row>
        <row r="76">
          <cell r="C76">
            <v>14</v>
          </cell>
          <cell r="D76" t="str">
            <v>MB591711A</v>
          </cell>
          <cell r="E76" t="str">
            <v xml:space="preserve"> EXT,RR FLOOR</v>
          </cell>
          <cell r="W76">
            <v>1</v>
          </cell>
          <cell r="AH76">
            <v>1</v>
          </cell>
          <cell r="AN76">
            <v>1</v>
          </cell>
          <cell r="AP76">
            <v>1</v>
          </cell>
          <cell r="AW76">
            <v>1</v>
          </cell>
          <cell r="AZ76" t="str">
            <v>B</v>
          </cell>
          <cell r="BA76" t="str">
            <v>신아금속</v>
          </cell>
          <cell r="BB76" t="str">
            <v>H50A12K</v>
          </cell>
          <cell r="BD76" t="str">
            <v>K591</v>
          </cell>
          <cell r="BE76" t="str">
            <v>5,14</v>
          </cell>
          <cell r="BI76">
            <v>0</v>
          </cell>
          <cell r="BJ76">
            <v>0</v>
          </cell>
          <cell r="BK76">
            <v>7</v>
          </cell>
          <cell r="BL76">
            <v>2</v>
          </cell>
          <cell r="BM76"/>
          <cell r="BN76"/>
          <cell r="BO76">
            <v>0</v>
          </cell>
          <cell r="BP76"/>
          <cell r="BQ76"/>
          <cell r="BR76"/>
          <cell r="BS76"/>
          <cell r="BT76"/>
          <cell r="BU76"/>
          <cell r="BV76"/>
          <cell r="BW76"/>
          <cell r="BX76"/>
          <cell r="BY76"/>
          <cell r="BZ76"/>
          <cell r="CA76"/>
          <cell r="CB76"/>
          <cell r="CC76"/>
          <cell r="CD76"/>
          <cell r="CE76"/>
          <cell r="CF76"/>
          <cell r="CG76"/>
          <cell r="CH76"/>
          <cell r="CI76"/>
          <cell r="CJ76"/>
          <cell r="CK76"/>
        </row>
        <row r="77">
          <cell r="C77">
            <v>1310</v>
          </cell>
          <cell r="D77" t="str">
            <v>XB591311</v>
          </cell>
          <cell r="E77" t="str">
            <v xml:space="preserve"> C/MBR,RR FLOOR(NO6 MOUNT)</v>
          </cell>
          <cell r="J77">
            <v>1</v>
          </cell>
          <cell r="K77">
            <v>1</v>
          </cell>
          <cell r="O77">
            <v>1</v>
          </cell>
          <cell r="Q77">
            <v>1</v>
          </cell>
          <cell r="X77">
            <v>1</v>
          </cell>
          <cell r="Z77">
            <v>1</v>
          </cell>
          <cell r="AE77">
            <v>1</v>
          </cell>
          <cell r="AI77">
            <v>1</v>
          </cell>
          <cell r="AK77">
            <v>1</v>
          </cell>
          <cell r="AQ77">
            <v>1</v>
          </cell>
          <cell r="AS77">
            <v>1</v>
          </cell>
          <cell r="AT77">
            <v>1</v>
          </cell>
          <cell r="AZ77" t="str">
            <v>B</v>
          </cell>
          <cell r="BA77" t="str">
            <v>신아금속</v>
          </cell>
          <cell r="BB77" t="str">
            <v>H50A12K</v>
          </cell>
          <cell r="BD77" t="str">
            <v>K591</v>
          </cell>
          <cell r="BI77">
            <v>868</v>
          </cell>
          <cell r="BJ77">
            <v>2</v>
          </cell>
          <cell r="BK77">
            <v>54</v>
          </cell>
          <cell r="BL77">
            <v>53</v>
          </cell>
          <cell r="BM77"/>
          <cell r="BN77"/>
          <cell r="BO77">
            <v>0</v>
          </cell>
          <cell r="BP77"/>
          <cell r="BQ77"/>
          <cell r="BR77"/>
          <cell r="BS77"/>
          <cell r="BT77"/>
          <cell r="BU77"/>
          <cell r="BV77"/>
          <cell r="BW77"/>
          <cell r="BX77"/>
          <cell r="BY77"/>
          <cell r="BZ77"/>
          <cell r="CA77"/>
          <cell r="CB77"/>
          <cell r="CC77"/>
          <cell r="CD77"/>
          <cell r="CE77"/>
          <cell r="CF77"/>
          <cell r="CG77"/>
          <cell r="CH77"/>
          <cell r="CI77"/>
          <cell r="CJ77"/>
          <cell r="CK77"/>
          <cell r="CL77"/>
          <cell r="CM77"/>
          <cell r="CN77"/>
          <cell r="CO77"/>
          <cell r="CP77"/>
          <cell r="CQ77"/>
        </row>
        <row r="78">
          <cell r="C78">
            <v>2584</v>
          </cell>
          <cell r="D78" t="str">
            <v>MB112558A</v>
          </cell>
          <cell r="E78" t="str">
            <v xml:space="preserve"> HINGE,B/DR UPR</v>
          </cell>
          <cell r="G78">
            <v>1</v>
          </cell>
          <cell r="AZ78" t="str">
            <v>B</v>
          </cell>
          <cell r="BA78" t="str">
            <v>고려공업</v>
          </cell>
          <cell r="BB78" t="str">
            <v>H50B33K</v>
          </cell>
          <cell r="BD78" t="str">
            <v>K572</v>
          </cell>
          <cell r="BE78" t="str">
            <v>ALL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/>
          <cell r="BN78"/>
          <cell r="BO78"/>
          <cell r="BP78"/>
          <cell r="BQ78"/>
          <cell r="BR78"/>
          <cell r="BS78"/>
          <cell r="BT78"/>
          <cell r="BU78"/>
          <cell r="BV78"/>
          <cell r="BW78"/>
          <cell r="BX78"/>
          <cell r="BY78"/>
          <cell r="BZ78"/>
          <cell r="CA78"/>
          <cell r="CB78"/>
          <cell r="CC78"/>
          <cell r="CD78"/>
          <cell r="CE78"/>
          <cell r="CF78"/>
          <cell r="CG78"/>
          <cell r="CH78"/>
          <cell r="CI78"/>
          <cell r="CJ78"/>
          <cell r="CK78"/>
        </row>
        <row r="79">
          <cell r="C79">
            <v>2584</v>
          </cell>
          <cell r="D79" t="str">
            <v>MB112559A</v>
          </cell>
          <cell r="E79" t="str">
            <v xml:space="preserve"> HINGE,B/DR LWR</v>
          </cell>
          <cell r="G79">
            <v>1</v>
          </cell>
          <cell r="AZ79" t="str">
            <v>B</v>
          </cell>
          <cell r="BA79" t="str">
            <v>고려공업</v>
          </cell>
          <cell r="BB79" t="str">
            <v>H50B33K</v>
          </cell>
          <cell r="BD79" t="str">
            <v>K572</v>
          </cell>
          <cell r="BE79" t="str">
            <v>ALL</v>
          </cell>
          <cell r="BI79">
            <v>0</v>
          </cell>
          <cell r="BJ79">
            <v>0</v>
          </cell>
          <cell r="BK79">
            <v>0</v>
          </cell>
          <cell r="BL79">
            <v>0</v>
          </cell>
          <cell r="BM79"/>
          <cell r="BN79"/>
          <cell r="BO79"/>
          <cell r="BP79"/>
          <cell r="BQ79"/>
          <cell r="BR79"/>
          <cell r="BS79"/>
          <cell r="BT79"/>
          <cell r="BU79"/>
          <cell r="BV79"/>
          <cell r="BW79"/>
          <cell r="BX79"/>
          <cell r="BY79"/>
          <cell r="BZ79"/>
          <cell r="CA79"/>
          <cell r="CB79"/>
          <cell r="CC79"/>
          <cell r="CD79"/>
          <cell r="CE79"/>
          <cell r="CF79"/>
          <cell r="CG79"/>
          <cell r="CH79"/>
          <cell r="CI79"/>
          <cell r="CJ79"/>
          <cell r="CK79"/>
        </row>
        <row r="80">
          <cell r="C80">
            <v>50</v>
          </cell>
          <cell r="D80" t="str">
            <v>HG040001</v>
          </cell>
          <cell r="E80" t="str">
            <v xml:space="preserve"> REG ASSY,F/DR WDO LH(MANUAL)</v>
          </cell>
          <cell r="F80" t="str">
            <v>-824A</v>
          </cell>
          <cell r="H80">
            <v>1</v>
          </cell>
          <cell r="I80">
            <v>1</v>
          </cell>
          <cell r="AB80">
            <v>1</v>
          </cell>
          <cell r="AC80">
            <v>1</v>
          </cell>
          <cell r="AF80">
            <v>1</v>
          </cell>
          <cell r="AG80">
            <v>1</v>
          </cell>
          <cell r="AH80"/>
          <cell r="AI80"/>
          <cell r="AJ80"/>
          <cell r="AK80"/>
          <cell r="AL80"/>
          <cell r="AM80"/>
          <cell r="AN80"/>
          <cell r="AO80"/>
          <cell r="AP80"/>
          <cell r="AQ80"/>
          <cell r="AR80"/>
          <cell r="AS80"/>
          <cell r="AT80"/>
          <cell r="AU80"/>
          <cell r="AV80"/>
          <cell r="AW80"/>
          <cell r="AX80"/>
          <cell r="AY80"/>
          <cell r="AZ80" t="str">
            <v>T</v>
          </cell>
          <cell r="BA80" t="str">
            <v>광진상공</v>
          </cell>
          <cell r="BB80" t="str">
            <v>H51E31K</v>
          </cell>
          <cell r="BC80"/>
          <cell r="BD80" t="str">
            <v>K596</v>
          </cell>
          <cell r="BE80" t="str">
            <v>STD</v>
          </cell>
          <cell r="BF80"/>
          <cell r="BG80"/>
          <cell r="BH80"/>
          <cell r="BI80" t="e">
            <v>#REF!</v>
          </cell>
          <cell r="BJ80" t="e">
            <v>#REF!</v>
          </cell>
          <cell r="BK80" t="e">
            <v>#REF!</v>
          </cell>
          <cell r="BL80" t="e">
            <v>#REF!</v>
          </cell>
          <cell r="BM80"/>
          <cell r="BN80"/>
          <cell r="BO80"/>
          <cell r="BP80"/>
          <cell r="BQ80"/>
          <cell r="BR80"/>
          <cell r="BS80"/>
          <cell r="BT80"/>
          <cell r="BU80"/>
          <cell r="BV80"/>
          <cell r="BW80"/>
          <cell r="BX80"/>
          <cell r="BY80"/>
          <cell r="BZ80"/>
          <cell r="CA80"/>
          <cell r="CB80"/>
          <cell r="CC80"/>
          <cell r="CD80"/>
          <cell r="CE80"/>
          <cell r="CF80"/>
          <cell r="CG80"/>
          <cell r="CH80"/>
          <cell r="CI80"/>
          <cell r="CJ80"/>
          <cell r="CK80"/>
          <cell r="CL80"/>
          <cell r="CM80"/>
          <cell r="CN80"/>
          <cell r="CO80"/>
        </row>
        <row r="81">
          <cell r="C81">
            <v>50</v>
          </cell>
          <cell r="D81" t="str">
            <v>HG040002</v>
          </cell>
          <cell r="E81" t="str">
            <v xml:space="preserve"> REG ASSY,F/DR WDO RH(MANUAL)</v>
          </cell>
          <cell r="F81" t="str">
            <v>-824A</v>
          </cell>
          <cell r="H81">
            <v>1</v>
          </cell>
          <cell r="I81">
            <v>1</v>
          </cell>
          <cell r="AB81">
            <v>1</v>
          </cell>
          <cell r="AC81">
            <v>1</v>
          </cell>
          <cell r="AF81">
            <v>1</v>
          </cell>
          <cell r="AG81">
            <v>1</v>
          </cell>
          <cell r="AH81"/>
          <cell r="AI81"/>
          <cell r="AJ81"/>
          <cell r="AK81"/>
          <cell r="AL81"/>
          <cell r="AM81"/>
          <cell r="AN81"/>
          <cell r="AO81"/>
          <cell r="AP81"/>
          <cell r="AQ81"/>
          <cell r="AR81"/>
          <cell r="AS81"/>
          <cell r="AT81"/>
          <cell r="AU81"/>
          <cell r="AV81"/>
          <cell r="AW81"/>
          <cell r="AX81"/>
          <cell r="AY81"/>
          <cell r="AZ81" t="str">
            <v>T</v>
          </cell>
          <cell r="BA81" t="str">
            <v>광진상공</v>
          </cell>
          <cell r="BB81" t="str">
            <v>H51E31K</v>
          </cell>
          <cell r="BC81"/>
          <cell r="BD81" t="str">
            <v>K596</v>
          </cell>
          <cell r="BE81" t="str">
            <v>STD</v>
          </cell>
          <cell r="BF81"/>
          <cell r="BG81"/>
          <cell r="BH81"/>
          <cell r="BI81" t="e">
            <v>#REF!</v>
          </cell>
          <cell r="BJ81" t="e">
            <v>#REF!</v>
          </cell>
          <cell r="BK81" t="e">
            <v>#REF!</v>
          </cell>
          <cell r="BL81" t="e">
            <v>#REF!</v>
          </cell>
          <cell r="BM81"/>
          <cell r="BN81"/>
          <cell r="BO81"/>
          <cell r="BP81"/>
          <cell r="BQ81"/>
          <cell r="BR81"/>
          <cell r="BS81"/>
          <cell r="BT81"/>
          <cell r="BU81"/>
          <cell r="BV81"/>
          <cell r="BW81"/>
          <cell r="BX81"/>
          <cell r="BY81"/>
          <cell r="BZ81"/>
          <cell r="CA81"/>
          <cell r="CB81"/>
          <cell r="CC81"/>
          <cell r="CD81"/>
          <cell r="CE81"/>
          <cell r="CF81"/>
          <cell r="CG81"/>
          <cell r="CH81"/>
          <cell r="CI81"/>
          <cell r="CJ81"/>
          <cell r="CK81"/>
          <cell r="CL81"/>
          <cell r="CM81"/>
          <cell r="CN81"/>
          <cell r="CO81"/>
        </row>
        <row r="82">
          <cell r="C82">
            <v>2534</v>
          </cell>
          <cell r="D82" t="str">
            <v>HG040003</v>
          </cell>
          <cell r="E82" t="str">
            <v xml:space="preserve"> REGULATOR,F/DR P/WDO LH</v>
          </cell>
          <cell r="F82" t="str">
            <v>+824A</v>
          </cell>
          <cell r="J82">
            <v>1</v>
          </cell>
          <cell r="K82">
            <v>1</v>
          </cell>
          <cell r="L82">
            <v>1</v>
          </cell>
          <cell r="M82">
            <v>1</v>
          </cell>
          <cell r="N82">
            <v>1</v>
          </cell>
          <cell r="O82">
            <v>1</v>
          </cell>
          <cell r="P82">
            <v>1</v>
          </cell>
          <cell r="Q82">
            <v>1</v>
          </cell>
          <cell r="R82">
            <v>1</v>
          </cell>
          <cell r="S82">
            <v>1</v>
          </cell>
          <cell r="T82">
            <v>1</v>
          </cell>
          <cell r="U82">
            <v>1</v>
          </cell>
          <cell r="V82">
            <v>1</v>
          </cell>
          <cell r="W82">
            <v>1</v>
          </cell>
          <cell r="X82">
            <v>1</v>
          </cell>
          <cell r="Y82">
            <v>1</v>
          </cell>
          <cell r="Z82">
            <v>1</v>
          </cell>
          <cell r="AA82">
            <v>1</v>
          </cell>
          <cell r="AB82">
            <v>1</v>
          </cell>
          <cell r="AD82">
            <v>1</v>
          </cell>
          <cell r="AE82">
            <v>1</v>
          </cell>
          <cell r="AH82">
            <v>1</v>
          </cell>
          <cell r="AI82">
            <v>1</v>
          </cell>
          <cell r="AJ82">
            <v>1</v>
          </cell>
          <cell r="AK82">
            <v>1</v>
          </cell>
          <cell r="AL82">
            <v>1</v>
          </cell>
          <cell r="AM82">
            <v>1</v>
          </cell>
          <cell r="AN82">
            <v>1</v>
          </cell>
          <cell r="AO82">
            <v>1</v>
          </cell>
          <cell r="AP82">
            <v>1</v>
          </cell>
          <cell r="AQ82">
            <v>1</v>
          </cell>
          <cell r="AR82">
            <v>1</v>
          </cell>
          <cell r="AS82">
            <v>1</v>
          </cell>
          <cell r="AT82">
            <v>1</v>
          </cell>
          <cell r="AU82">
            <v>1</v>
          </cell>
          <cell r="AV82">
            <v>1</v>
          </cell>
          <cell r="AW82">
            <v>1</v>
          </cell>
          <cell r="AX82">
            <v>1</v>
          </cell>
          <cell r="AY82">
            <v>1</v>
          </cell>
          <cell r="AZ82" t="str">
            <v>T</v>
          </cell>
          <cell r="BA82" t="str">
            <v>광진상공</v>
          </cell>
          <cell r="BB82" t="str">
            <v>H51K31K</v>
          </cell>
          <cell r="BD82" t="str">
            <v>K596</v>
          </cell>
          <cell r="BI82" t="e">
            <v>#REF!</v>
          </cell>
          <cell r="BJ82" t="e">
            <v>#REF!</v>
          </cell>
          <cell r="BK82" t="e">
            <v>#REF!</v>
          </cell>
          <cell r="BL82" t="e">
            <v>#REF!</v>
          </cell>
          <cell r="BM82"/>
          <cell r="BN82"/>
          <cell r="BO82"/>
          <cell r="BP82"/>
          <cell r="BQ82"/>
          <cell r="BR82"/>
          <cell r="BS82"/>
          <cell r="BT82"/>
          <cell r="BU82"/>
          <cell r="BV82"/>
          <cell r="BW82"/>
          <cell r="BX82"/>
          <cell r="BY82"/>
          <cell r="BZ82"/>
          <cell r="CA82"/>
          <cell r="CB82"/>
          <cell r="CC82"/>
          <cell r="CD82"/>
          <cell r="CE82"/>
          <cell r="CF82"/>
          <cell r="CG82"/>
          <cell r="CH82"/>
          <cell r="CI82"/>
          <cell r="CJ82"/>
          <cell r="CK82"/>
          <cell r="CL82"/>
          <cell r="CM82"/>
          <cell r="CN82"/>
          <cell r="CO82"/>
          <cell r="CP82"/>
          <cell r="CQ82"/>
        </row>
        <row r="83">
          <cell r="C83">
            <v>2534</v>
          </cell>
          <cell r="D83" t="str">
            <v>HG040004</v>
          </cell>
          <cell r="E83" t="str">
            <v xml:space="preserve"> REGULATOR,F/DR P/WDO RH</v>
          </cell>
          <cell r="F83" t="str">
            <v>+824A</v>
          </cell>
          <cell r="J83">
            <v>1</v>
          </cell>
          <cell r="K83">
            <v>1</v>
          </cell>
          <cell r="L83">
            <v>1</v>
          </cell>
          <cell r="M83">
            <v>1</v>
          </cell>
          <cell r="N83">
            <v>1</v>
          </cell>
          <cell r="O83">
            <v>1</v>
          </cell>
          <cell r="P83">
            <v>1</v>
          </cell>
          <cell r="Q83">
            <v>1</v>
          </cell>
          <cell r="R83">
            <v>1</v>
          </cell>
          <cell r="S83">
            <v>1</v>
          </cell>
          <cell r="T83">
            <v>1</v>
          </cell>
          <cell r="U83">
            <v>1</v>
          </cell>
          <cell r="V83">
            <v>1</v>
          </cell>
          <cell r="W83">
            <v>1</v>
          </cell>
          <cell r="X83">
            <v>1</v>
          </cell>
          <cell r="Y83">
            <v>1</v>
          </cell>
          <cell r="Z83">
            <v>1</v>
          </cell>
          <cell r="AA83">
            <v>1</v>
          </cell>
          <cell r="AB83">
            <v>1</v>
          </cell>
          <cell r="AD83">
            <v>1</v>
          </cell>
          <cell r="AE83">
            <v>1</v>
          </cell>
          <cell r="AH83">
            <v>1</v>
          </cell>
          <cell r="AI83">
            <v>1</v>
          </cell>
          <cell r="AJ83">
            <v>1</v>
          </cell>
          <cell r="AK83">
            <v>1</v>
          </cell>
          <cell r="AL83">
            <v>1</v>
          </cell>
          <cell r="AM83">
            <v>1</v>
          </cell>
          <cell r="AN83">
            <v>1</v>
          </cell>
          <cell r="AO83">
            <v>1</v>
          </cell>
          <cell r="AP83">
            <v>1</v>
          </cell>
          <cell r="AQ83">
            <v>1</v>
          </cell>
          <cell r="AR83">
            <v>1</v>
          </cell>
          <cell r="AS83">
            <v>1</v>
          </cell>
          <cell r="AT83">
            <v>1</v>
          </cell>
          <cell r="AU83">
            <v>1</v>
          </cell>
          <cell r="AV83">
            <v>1</v>
          </cell>
          <cell r="AW83">
            <v>1</v>
          </cell>
          <cell r="AX83">
            <v>1</v>
          </cell>
          <cell r="AY83">
            <v>1</v>
          </cell>
          <cell r="AZ83" t="str">
            <v>T</v>
          </cell>
          <cell r="BA83" t="str">
            <v>광진상공</v>
          </cell>
          <cell r="BB83" t="str">
            <v>H51K31K</v>
          </cell>
          <cell r="BD83" t="str">
            <v>K596</v>
          </cell>
          <cell r="BI83" t="e">
            <v>#REF!</v>
          </cell>
          <cell r="BJ83" t="e">
            <v>#REF!</v>
          </cell>
          <cell r="BK83" t="e">
            <v>#REF!</v>
          </cell>
          <cell r="BL83" t="e">
            <v>#REF!</v>
          </cell>
          <cell r="BM83"/>
          <cell r="BN83"/>
          <cell r="BO83"/>
          <cell r="BP83"/>
          <cell r="BQ83"/>
          <cell r="BR83"/>
          <cell r="BS83"/>
          <cell r="BT83"/>
          <cell r="BU83"/>
          <cell r="BV83"/>
          <cell r="BW83"/>
          <cell r="BX83"/>
          <cell r="BY83"/>
          <cell r="BZ83"/>
          <cell r="CA83"/>
          <cell r="CB83"/>
          <cell r="CC83"/>
          <cell r="CD83"/>
          <cell r="CE83"/>
          <cell r="CF83"/>
          <cell r="CG83"/>
          <cell r="CH83"/>
          <cell r="CI83"/>
          <cell r="CJ83"/>
          <cell r="CK83"/>
          <cell r="CL83"/>
          <cell r="CM83"/>
          <cell r="CN83"/>
          <cell r="CO83"/>
          <cell r="CP83"/>
          <cell r="CQ83"/>
        </row>
        <row r="84">
          <cell r="C84">
            <v>2584</v>
          </cell>
          <cell r="D84" t="str">
            <v>HG050005</v>
          </cell>
          <cell r="E84" t="str">
            <v xml:space="preserve"> HOLDER(A),F/DR WDO GLASS LH</v>
          </cell>
          <cell r="G84">
            <v>1</v>
          </cell>
          <cell r="AZ84" t="str">
            <v>T</v>
          </cell>
          <cell r="BA84" t="str">
            <v>광진상공</v>
          </cell>
          <cell r="BB84" t="str">
            <v>H52A31K</v>
          </cell>
          <cell r="BD84" t="str">
            <v>K596</v>
          </cell>
          <cell r="BE84" t="str">
            <v>ALL</v>
          </cell>
          <cell r="BI84" t="e">
            <v>#REF!</v>
          </cell>
          <cell r="BJ84" t="e">
            <v>#REF!</v>
          </cell>
          <cell r="BK84" t="e">
            <v>#REF!</v>
          </cell>
          <cell r="BL84" t="e">
            <v>#REF!</v>
          </cell>
          <cell r="BM84"/>
          <cell r="BN84"/>
          <cell r="BO84"/>
          <cell r="BP84"/>
          <cell r="BQ84"/>
          <cell r="BR84"/>
          <cell r="BS84"/>
          <cell r="BT84"/>
          <cell r="BU84"/>
          <cell r="BV84"/>
          <cell r="BW84"/>
          <cell r="BX84"/>
          <cell r="BY84"/>
          <cell r="BZ84"/>
          <cell r="CA84"/>
          <cell r="CB84"/>
          <cell r="CC84"/>
          <cell r="CD84"/>
          <cell r="CE84"/>
          <cell r="CF84"/>
          <cell r="CG84"/>
          <cell r="CH84"/>
          <cell r="CI84"/>
          <cell r="CJ84"/>
          <cell r="CK84"/>
        </row>
        <row r="85">
          <cell r="C85">
            <v>2544</v>
          </cell>
          <cell r="D85" t="str">
            <v>HG050006</v>
          </cell>
          <cell r="E85" t="str">
            <v xml:space="preserve"> HOLDER(A),F/DR WDO GLASS RH</v>
          </cell>
          <cell r="H85">
            <v>1</v>
          </cell>
          <cell r="I85">
            <v>1</v>
          </cell>
          <cell r="J85">
            <v>1</v>
          </cell>
          <cell r="K85">
            <v>1</v>
          </cell>
          <cell r="L85">
            <v>1</v>
          </cell>
          <cell r="M85">
            <v>1</v>
          </cell>
          <cell r="N85">
            <v>1</v>
          </cell>
          <cell r="O85">
            <v>1</v>
          </cell>
          <cell r="P85">
            <v>1</v>
          </cell>
          <cell r="Q85">
            <v>1</v>
          </cell>
          <cell r="R85">
            <v>1</v>
          </cell>
          <cell r="S85">
            <v>1</v>
          </cell>
          <cell r="T85">
            <v>1</v>
          </cell>
          <cell r="U85">
            <v>1</v>
          </cell>
          <cell r="V85">
            <v>1</v>
          </cell>
          <cell r="W85">
            <v>1</v>
          </cell>
          <cell r="X85">
            <v>1</v>
          </cell>
          <cell r="Y85">
            <v>1</v>
          </cell>
          <cell r="Z85">
            <v>1</v>
          </cell>
          <cell r="AA85">
            <v>1</v>
          </cell>
          <cell r="AB85">
            <v>1</v>
          </cell>
          <cell r="AE85">
            <v>1</v>
          </cell>
          <cell r="AF85">
            <v>1</v>
          </cell>
          <cell r="AG85">
            <v>1</v>
          </cell>
          <cell r="AH85">
            <v>1</v>
          </cell>
          <cell r="AI85">
            <v>1</v>
          </cell>
          <cell r="AJ85">
            <v>1</v>
          </cell>
          <cell r="AK85">
            <v>1</v>
          </cell>
          <cell r="AL85">
            <v>1</v>
          </cell>
          <cell r="AM85">
            <v>1</v>
          </cell>
          <cell r="AN85">
            <v>1</v>
          </cell>
          <cell r="AO85">
            <v>1</v>
          </cell>
          <cell r="AP85">
            <v>1</v>
          </cell>
          <cell r="AQ85">
            <v>1</v>
          </cell>
          <cell r="AR85">
            <v>1</v>
          </cell>
          <cell r="AS85">
            <v>1</v>
          </cell>
          <cell r="AT85"/>
          <cell r="AU85">
            <v>1</v>
          </cell>
          <cell r="AV85">
            <v>1</v>
          </cell>
          <cell r="AW85">
            <v>1</v>
          </cell>
          <cell r="AX85">
            <v>1</v>
          </cell>
          <cell r="AY85">
            <v>1</v>
          </cell>
          <cell r="AZ85" t="str">
            <v>T</v>
          </cell>
          <cell r="BA85" t="str">
            <v>광진상공</v>
          </cell>
          <cell r="BB85" t="str">
            <v>H52A31K</v>
          </cell>
          <cell r="BC85"/>
          <cell r="BD85" t="str">
            <v>K596</v>
          </cell>
          <cell r="BE85" t="str">
            <v>ALL</v>
          </cell>
          <cell r="BF85"/>
          <cell r="BG85"/>
          <cell r="BH85"/>
          <cell r="BI85" t="e">
            <v>#REF!</v>
          </cell>
          <cell r="BJ85" t="e">
            <v>#REF!</v>
          </cell>
          <cell r="BK85" t="e">
            <v>#REF!</v>
          </cell>
          <cell r="BL85" t="e">
            <v>#REF!</v>
          </cell>
          <cell r="BM85"/>
          <cell r="BN85"/>
          <cell r="BO85"/>
          <cell r="BP85"/>
          <cell r="BQ85"/>
          <cell r="BR85"/>
          <cell r="BS85"/>
          <cell r="BT85"/>
          <cell r="BU85"/>
          <cell r="BV85"/>
          <cell r="BW85"/>
          <cell r="BX85"/>
          <cell r="BY85"/>
          <cell r="BZ85"/>
          <cell r="CA85"/>
          <cell r="CB85"/>
          <cell r="CC85"/>
          <cell r="CD85"/>
          <cell r="CE85"/>
          <cell r="CF85"/>
          <cell r="CG85"/>
          <cell r="CH85"/>
          <cell r="CI85"/>
          <cell r="CJ85"/>
          <cell r="CK85"/>
          <cell r="CL85"/>
          <cell r="CM85"/>
          <cell r="CN85"/>
        </row>
        <row r="86">
          <cell r="C86">
            <v>5168</v>
          </cell>
          <cell r="D86" t="str">
            <v>HG050007</v>
          </cell>
          <cell r="E86" t="str">
            <v xml:space="preserve"> HOLDER(B),F/DR WDO GLASS</v>
          </cell>
          <cell r="G86">
            <v>2</v>
          </cell>
          <cell r="AZ86" t="str">
            <v>T</v>
          </cell>
          <cell r="BA86" t="str">
            <v>광진상공</v>
          </cell>
          <cell r="BB86" t="str">
            <v>H52A31K</v>
          </cell>
          <cell r="BD86" t="str">
            <v>K596</v>
          </cell>
          <cell r="BE86" t="str">
            <v>ALL</v>
          </cell>
          <cell r="BI86" t="e">
            <v>#REF!</v>
          </cell>
          <cell r="BJ86" t="e">
            <v>#REF!</v>
          </cell>
          <cell r="BK86" t="e">
            <v>#REF!</v>
          </cell>
          <cell r="BL86" t="e">
            <v>#REF!</v>
          </cell>
          <cell r="BM86"/>
          <cell r="BN86"/>
          <cell r="BO86"/>
          <cell r="BP86"/>
          <cell r="BQ86"/>
          <cell r="BR86"/>
          <cell r="BS86"/>
          <cell r="BT86"/>
          <cell r="BU86"/>
          <cell r="BV86"/>
          <cell r="BW86"/>
          <cell r="BX86"/>
          <cell r="BY86"/>
          <cell r="BZ86"/>
          <cell r="CA86"/>
          <cell r="CB86"/>
          <cell r="CC86"/>
          <cell r="CD86"/>
          <cell r="CE86"/>
          <cell r="CF86"/>
          <cell r="CG86"/>
          <cell r="CH86"/>
          <cell r="CI86"/>
          <cell r="CJ86"/>
          <cell r="CK86"/>
        </row>
        <row r="87">
          <cell r="C87">
            <v>128</v>
          </cell>
          <cell r="D87" t="str">
            <v>HG240001</v>
          </cell>
          <cell r="E87" t="str">
            <v xml:space="preserve"> REGULATOR ASSY,R/DR WDO LH</v>
          </cell>
          <cell r="I87">
            <v>1</v>
          </cell>
          <cell r="V87">
            <v>1</v>
          </cell>
          <cell r="Y87">
            <v>1</v>
          </cell>
          <cell r="AA87">
            <v>1</v>
          </cell>
          <cell r="AG87">
            <v>1</v>
          </cell>
          <cell r="AJ87">
            <v>1</v>
          </cell>
          <cell r="AK87">
            <v>1</v>
          </cell>
          <cell r="AQ87">
            <v>1</v>
          </cell>
          <cell r="AR87">
            <v>1</v>
          </cell>
          <cell r="AU87">
            <v>1</v>
          </cell>
          <cell r="AV87">
            <v>1</v>
          </cell>
          <cell r="AX87">
            <v>1</v>
          </cell>
          <cell r="AY87">
            <v>1</v>
          </cell>
          <cell r="AZ87" t="str">
            <v>T</v>
          </cell>
          <cell r="BA87" t="str">
            <v>광진상공</v>
          </cell>
          <cell r="BB87" t="str">
            <v>H51E32K</v>
          </cell>
          <cell r="BD87" t="str">
            <v>K596</v>
          </cell>
          <cell r="BE87" t="str">
            <v>2</v>
          </cell>
          <cell r="BI87" t="e">
            <v>#REF!</v>
          </cell>
          <cell r="BJ87" t="e">
            <v>#REF!</v>
          </cell>
          <cell r="BK87" t="e">
            <v>#REF!</v>
          </cell>
          <cell r="BL87" t="e">
            <v>#REF!</v>
          </cell>
          <cell r="BM87"/>
          <cell r="BN87"/>
          <cell r="BO87"/>
          <cell r="BP87"/>
          <cell r="BQ87"/>
          <cell r="BR87"/>
          <cell r="BS87"/>
          <cell r="BT87"/>
          <cell r="BU87"/>
          <cell r="BV87"/>
          <cell r="BW87"/>
          <cell r="BX87"/>
          <cell r="BY87"/>
          <cell r="BZ87"/>
          <cell r="CA87"/>
          <cell r="CB87"/>
          <cell r="CC87"/>
          <cell r="CD87"/>
          <cell r="CE87"/>
          <cell r="CF87"/>
          <cell r="CG87"/>
          <cell r="CH87"/>
          <cell r="CI87"/>
          <cell r="CJ87"/>
          <cell r="CK87"/>
          <cell r="CL87"/>
          <cell r="CM87"/>
        </row>
        <row r="88">
          <cell r="C88">
            <v>128</v>
          </cell>
          <cell r="D88" t="str">
            <v>HG240002</v>
          </cell>
          <cell r="E88" t="str">
            <v xml:space="preserve"> REGULATOR ASSY,R/DR WDO RH</v>
          </cell>
          <cell r="I88">
            <v>1</v>
          </cell>
          <cell r="V88">
            <v>1</v>
          </cell>
          <cell r="Y88">
            <v>1</v>
          </cell>
          <cell r="AA88">
            <v>1</v>
          </cell>
          <cell r="AG88">
            <v>1</v>
          </cell>
          <cell r="AJ88">
            <v>1</v>
          </cell>
          <cell r="AK88">
            <v>1</v>
          </cell>
          <cell r="AQ88">
            <v>1</v>
          </cell>
          <cell r="AR88">
            <v>1</v>
          </cell>
          <cell r="AU88">
            <v>1</v>
          </cell>
          <cell r="AV88">
            <v>1</v>
          </cell>
          <cell r="AX88">
            <v>1</v>
          </cell>
          <cell r="AY88">
            <v>1</v>
          </cell>
          <cell r="AZ88" t="str">
            <v>T</v>
          </cell>
          <cell r="BA88" t="str">
            <v>광진상공</v>
          </cell>
          <cell r="BB88" t="str">
            <v>H51E32K</v>
          </cell>
          <cell r="BD88" t="str">
            <v>K596</v>
          </cell>
          <cell r="BE88" t="str">
            <v>2</v>
          </cell>
          <cell r="BI88" t="e">
            <v>#REF!</v>
          </cell>
          <cell r="BJ88" t="e">
            <v>#REF!</v>
          </cell>
          <cell r="BK88" t="e">
            <v>#REF!</v>
          </cell>
          <cell r="BL88" t="e">
            <v>#REF!</v>
          </cell>
          <cell r="BM88"/>
          <cell r="BN88"/>
          <cell r="BO88"/>
          <cell r="BP88"/>
          <cell r="BQ88"/>
          <cell r="BR88"/>
          <cell r="BS88"/>
          <cell r="BT88"/>
          <cell r="BU88"/>
          <cell r="BV88"/>
          <cell r="BW88"/>
          <cell r="BX88"/>
          <cell r="BY88"/>
          <cell r="BZ88"/>
          <cell r="CA88"/>
          <cell r="CB88"/>
          <cell r="CC88"/>
          <cell r="CD88"/>
          <cell r="CE88"/>
          <cell r="CF88"/>
          <cell r="CG88"/>
          <cell r="CH88"/>
          <cell r="CI88"/>
          <cell r="CJ88"/>
          <cell r="CK88"/>
          <cell r="CL88"/>
          <cell r="CM88"/>
        </row>
        <row r="89">
          <cell r="C89">
            <v>1764</v>
          </cell>
          <cell r="D89" t="str">
            <v>HG240003</v>
          </cell>
          <cell r="E89" t="str">
            <v xml:space="preserve"> REGULATOR,RR/DR P/WDO LH</v>
          </cell>
          <cell r="J89">
            <v>1</v>
          </cell>
          <cell r="K89">
            <v>1</v>
          </cell>
          <cell r="O89">
            <v>1</v>
          </cell>
          <cell r="Q89">
            <v>1</v>
          </cell>
          <cell r="S89">
            <v>1</v>
          </cell>
          <cell r="T89">
            <v>1</v>
          </cell>
          <cell r="X89">
            <v>1</v>
          </cell>
          <cell r="Z89">
            <v>1</v>
          </cell>
          <cell r="AE89">
            <v>1</v>
          </cell>
          <cell r="AI89">
            <v>1</v>
          </cell>
          <cell r="AS89">
            <v>1</v>
          </cell>
          <cell r="AT89">
            <v>1</v>
          </cell>
          <cell r="AZ89" t="str">
            <v>T</v>
          </cell>
          <cell r="BA89" t="str">
            <v>광진상공</v>
          </cell>
          <cell r="BB89" t="str">
            <v>H51K32K</v>
          </cell>
          <cell r="BD89" t="str">
            <v>K596</v>
          </cell>
          <cell r="BI89" t="e">
            <v>#REF!</v>
          </cell>
          <cell r="BJ89" t="e">
            <v>#REF!</v>
          </cell>
          <cell r="BK89" t="e">
            <v>#REF!</v>
          </cell>
          <cell r="BL89" t="e">
            <v>#REF!</v>
          </cell>
          <cell r="BM89"/>
          <cell r="BN89"/>
          <cell r="BO89"/>
          <cell r="BP89"/>
          <cell r="BQ89"/>
          <cell r="BR89"/>
          <cell r="BS89"/>
          <cell r="BT89"/>
          <cell r="BU89"/>
          <cell r="BV89"/>
          <cell r="BW89"/>
          <cell r="BX89"/>
          <cell r="BY89"/>
          <cell r="BZ89"/>
          <cell r="CA89"/>
          <cell r="CB89"/>
          <cell r="CC89"/>
          <cell r="CD89"/>
          <cell r="CE89"/>
          <cell r="CF89"/>
          <cell r="CG89"/>
          <cell r="CH89"/>
          <cell r="CI89"/>
          <cell r="CJ89"/>
          <cell r="CK89"/>
          <cell r="CL89"/>
          <cell r="CM89"/>
          <cell r="CN89"/>
          <cell r="CO89"/>
          <cell r="CP89"/>
          <cell r="CQ89"/>
        </row>
        <row r="90">
          <cell r="C90">
            <v>1764</v>
          </cell>
          <cell r="D90" t="str">
            <v>HG240004</v>
          </cell>
          <cell r="E90" t="str">
            <v xml:space="preserve"> REGULATOR,RR/DR P/WDO RH</v>
          </cell>
          <cell r="J90">
            <v>1</v>
          </cell>
          <cell r="K90">
            <v>1</v>
          </cell>
          <cell r="O90">
            <v>1</v>
          </cell>
          <cell r="Q90">
            <v>1</v>
          </cell>
          <cell r="S90">
            <v>1</v>
          </cell>
          <cell r="T90">
            <v>1</v>
          </cell>
          <cell r="X90">
            <v>1</v>
          </cell>
          <cell r="Z90">
            <v>1</v>
          </cell>
          <cell r="AE90">
            <v>1</v>
          </cell>
          <cell r="AI90">
            <v>1</v>
          </cell>
          <cell r="AS90">
            <v>1</v>
          </cell>
          <cell r="AT90">
            <v>1</v>
          </cell>
          <cell r="AZ90" t="str">
            <v>T</v>
          </cell>
          <cell r="BA90" t="str">
            <v>광진상공</v>
          </cell>
          <cell r="BB90" t="str">
            <v>H51K32K</v>
          </cell>
          <cell r="BD90" t="str">
            <v>K596</v>
          </cell>
          <cell r="BI90" t="e">
            <v>#REF!</v>
          </cell>
          <cell r="BJ90" t="e">
            <v>#REF!</v>
          </cell>
          <cell r="BK90" t="e">
            <v>#REF!</v>
          </cell>
          <cell r="BL90" t="e">
            <v>#REF!</v>
          </cell>
          <cell r="BM90"/>
          <cell r="BN90"/>
          <cell r="BO90"/>
          <cell r="BP90"/>
          <cell r="BQ90"/>
          <cell r="BR90"/>
          <cell r="BS90"/>
          <cell r="BT90"/>
          <cell r="BU90"/>
          <cell r="BV90"/>
          <cell r="BW90"/>
          <cell r="BX90"/>
          <cell r="BY90"/>
          <cell r="BZ90"/>
          <cell r="CA90"/>
          <cell r="CB90"/>
          <cell r="CC90"/>
          <cell r="CD90"/>
          <cell r="CE90"/>
          <cell r="CF90"/>
          <cell r="CG90"/>
          <cell r="CH90"/>
          <cell r="CI90"/>
          <cell r="CJ90"/>
          <cell r="CK90"/>
          <cell r="CL90"/>
          <cell r="CM90"/>
          <cell r="CN90"/>
          <cell r="CO90"/>
          <cell r="CP90"/>
          <cell r="CQ90"/>
        </row>
        <row r="91">
          <cell r="C91">
            <v>3798</v>
          </cell>
          <cell r="D91" t="str">
            <v>HG250001</v>
          </cell>
          <cell r="E91" t="str">
            <v xml:space="preserve"> HOLDER,R/DR GLASS</v>
          </cell>
          <cell r="I91">
            <v>2</v>
          </cell>
          <cell r="J91">
            <v>2</v>
          </cell>
          <cell r="K91">
            <v>2</v>
          </cell>
          <cell r="O91">
            <v>2</v>
          </cell>
          <cell r="Q91">
            <v>2</v>
          </cell>
          <cell r="S91">
            <v>2</v>
          </cell>
          <cell r="T91">
            <v>2</v>
          </cell>
          <cell r="V91">
            <v>2</v>
          </cell>
          <cell r="X91">
            <v>2</v>
          </cell>
          <cell r="Y91">
            <v>2</v>
          </cell>
          <cell r="Z91">
            <v>2</v>
          </cell>
          <cell r="AA91">
            <v>2</v>
          </cell>
          <cell r="AE91">
            <v>2</v>
          </cell>
          <cell r="AG91">
            <v>2</v>
          </cell>
          <cell r="AI91">
            <v>2</v>
          </cell>
          <cell r="AJ91">
            <v>2</v>
          </cell>
          <cell r="AK91">
            <v>2</v>
          </cell>
          <cell r="AN91">
            <v>2</v>
          </cell>
          <cell r="AQ91">
            <v>2</v>
          </cell>
          <cell r="AR91">
            <v>2</v>
          </cell>
          <cell r="AS91">
            <v>2</v>
          </cell>
          <cell r="AT91">
            <v>2</v>
          </cell>
          <cell r="AU91">
            <v>2</v>
          </cell>
          <cell r="AV91">
            <v>2</v>
          </cell>
          <cell r="AX91">
            <v>2</v>
          </cell>
          <cell r="AY91">
            <v>2</v>
          </cell>
          <cell r="AZ91" t="str">
            <v>T</v>
          </cell>
          <cell r="BA91" t="str">
            <v>광진상공</v>
          </cell>
          <cell r="BB91" t="str">
            <v>H52A32K</v>
          </cell>
          <cell r="BD91" t="str">
            <v>K596</v>
          </cell>
          <cell r="BI91" t="e">
            <v>#REF!</v>
          </cell>
          <cell r="BJ91" t="e">
            <v>#REF!</v>
          </cell>
          <cell r="BK91" t="e">
            <v>#REF!</v>
          </cell>
          <cell r="BL91" t="e">
            <v>#REF!</v>
          </cell>
          <cell r="BM91"/>
          <cell r="BN91"/>
          <cell r="BO91"/>
          <cell r="BP91"/>
          <cell r="BQ91"/>
          <cell r="BR91"/>
          <cell r="BS91"/>
          <cell r="BT91"/>
          <cell r="BU91"/>
          <cell r="BV91"/>
          <cell r="BW91"/>
          <cell r="BX91"/>
          <cell r="BY91"/>
          <cell r="BZ91"/>
          <cell r="CA91"/>
          <cell r="CB91"/>
          <cell r="CC91"/>
          <cell r="CD91"/>
          <cell r="CE91"/>
          <cell r="CF91"/>
          <cell r="CG91"/>
          <cell r="CH91"/>
          <cell r="CI91"/>
          <cell r="CJ91"/>
          <cell r="CK91"/>
          <cell r="CL91"/>
          <cell r="CM91"/>
          <cell r="CN91"/>
          <cell r="CO91"/>
          <cell r="CP91"/>
          <cell r="CQ91"/>
        </row>
        <row r="92">
          <cell r="C92">
            <v>2584</v>
          </cell>
          <cell r="D92" t="str">
            <v>HG300004</v>
          </cell>
          <cell r="E92" t="str">
            <v xml:space="preserve"> REINF,SPARE TIRE</v>
          </cell>
          <cell r="F92" t="str">
            <v>삭제예정ITEM</v>
          </cell>
          <cell r="G92">
            <v>1</v>
          </cell>
          <cell r="AZ92" t="str">
            <v>B</v>
          </cell>
          <cell r="BA92" t="str">
            <v>광진상공</v>
          </cell>
          <cell r="BB92" t="str">
            <v>H50B33K</v>
          </cell>
          <cell r="BD92" t="str">
            <v>K596</v>
          </cell>
          <cell r="BE92" t="str">
            <v>ALL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/>
          <cell r="BN92"/>
          <cell r="BO92"/>
          <cell r="BP92"/>
          <cell r="BQ92"/>
          <cell r="BR92"/>
          <cell r="BS92"/>
          <cell r="BT92"/>
          <cell r="BU92"/>
          <cell r="BV92"/>
          <cell r="BW92"/>
          <cell r="BX92"/>
          <cell r="BY92"/>
          <cell r="BZ92"/>
          <cell r="CA92"/>
          <cell r="CB92"/>
          <cell r="CC92"/>
          <cell r="CD92"/>
          <cell r="CE92"/>
          <cell r="CF92"/>
          <cell r="CG92"/>
          <cell r="CH92"/>
          <cell r="CI92"/>
          <cell r="CJ92"/>
          <cell r="CK92"/>
        </row>
        <row r="93">
          <cell r="C93">
            <v>2584</v>
          </cell>
          <cell r="D93" t="str">
            <v>HQ503101</v>
          </cell>
          <cell r="E93" t="str">
            <v xml:space="preserve"> COMP ASSY F/DR B/LI OTR LH</v>
          </cell>
          <cell r="G93">
            <v>1</v>
          </cell>
          <cell r="AZ93" t="str">
            <v>B</v>
          </cell>
          <cell r="BA93" t="str">
            <v>광진상공</v>
          </cell>
          <cell r="BB93" t="str">
            <v>H50B31K</v>
          </cell>
          <cell r="BC93" t="str">
            <v>MB227647B</v>
          </cell>
          <cell r="BD93" t="str">
            <v>K596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/>
          <cell r="BN93"/>
          <cell r="BO93"/>
          <cell r="BP93"/>
          <cell r="BQ93"/>
          <cell r="BR93"/>
          <cell r="BS93"/>
          <cell r="BT93"/>
          <cell r="BU93"/>
          <cell r="BV93"/>
          <cell r="BW93"/>
          <cell r="BX93"/>
          <cell r="BY93"/>
          <cell r="BZ93"/>
          <cell r="CA93"/>
          <cell r="CB93"/>
          <cell r="CC93"/>
          <cell r="CD93"/>
          <cell r="CE93"/>
          <cell r="CF93"/>
          <cell r="CG93"/>
          <cell r="CH93"/>
          <cell r="CI93"/>
          <cell r="CJ93"/>
        </row>
        <row r="94">
          <cell r="C94">
            <v>2584</v>
          </cell>
          <cell r="D94" t="str">
            <v>HQ503102</v>
          </cell>
          <cell r="E94" t="str">
            <v xml:space="preserve"> COMP ASSY F/DR B/LI OTR LH</v>
          </cell>
          <cell r="G94">
            <v>1</v>
          </cell>
          <cell r="AZ94" t="str">
            <v>B</v>
          </cell>
          <cell r="BA94" t="str">
            <v>광진상공</v>
          </cell>
          <cell r="BB94" t="str">
            <v>H50B31K</v>
          </cell>
          <cell r="BC94" t="str">
            <v>MB227648B</v>
          </cell>
          <cell r="BD94" t="str">
            <v>K596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/>
          <cell r="BN94"/>
          <cell r="BO94"/>
          <cell r="BP94"/>
          <cell r="BQ94"/>
          <cell r="BR94"/>
          <cell r="BS94"/>
          <cell r="BT94"/>
          <cell r="BU94"/>
          <cell r="BV94"/>
          <cell r="BW94"/>
          <cell r="BX94"/>
          <cell r="BY94"/>
          <cell r="BZ94"/>
          <cell r="CA94"/>
          <cell r="CB94"/>
          <cell r="CC94"/>
          <cell r="CD94"/>
          <cell r="CE94"/>
          <cell r="CF94"/>
          <cell r="CG94"/>
          <cell r="CH94"/>
          <cell r="CI94"/>
          <cell r="CJ94"/>
        </row>
        <row r="95">
          <cell r="C95">
            <v>2584</v>
          </cell>
          <cell r="D95" t="str">
            <v>MB021361A</v>
          </cell>
          <cell r="E95" t="str">
            <v xml:space="preserve"> HINGE ASS'Y,HOOD LH</v>
          </cell>
          <cell r="G95">
            <v>1</v>
          </cell>
          <cell r="AZ95" t="str">
            <v>B</v>
          </cell>
          <cell r="BA95" t="str">
            <v>광진상공</v>
          </cell>
          <cell r="BB95" t="str">
            <v>H50A18K</v>
          </cell>
          <cell r="BD95" t="str">
            <v>K596</v>
          </cell>
          <cell r="BE95" t="str">
            <v>ALL</v>
          </cell>
          <cell r="BI95">
            <v>0</v>
          </cell>
          <cell r="BJ95">
            <v>0</v>
          </cell>
          <cell r="BK95">
            <v>0</v>
          </cell>
          <cell r="BL95">
            <v>0</v>
          </cell>
          <cell r="BM95"/>
          <cell r="BN95"/>
          <cell r="BO95"/>
          <cell r="BP95"/>
          <cell r="BQ95"/>
          <cell r="BR95"/>
          <cell r="BS95"/>
          <cell r="BT95"/>
          <cell r="BU95"/>
          <cell r="BV95"/>
          <cell r="BW95"/>
          <cell r="BX95"/>
          <cell r="BY95"/>
          <cell r="BZ95"/>
          <cell r="CA95"/>
          <cell r="CB95"/>
          <cell r="CC95"/>
          <cell r="CD95"/>
          <cell r="CE95"/>
          <cell r="CF95"/>
          <cell r="CG95"/>
          <cell r="CH95"/>
          <cell r="CI95"/>
          <cell r="CJ95"/>
          <cell r="CK95"/>
        </row>
        <row r="96">
          <cell r="C96">
            <v>2584</v>
          </cell>
          <cell r="D96" t="str">
            <v>MB021362A</v>
          </cell>
          <cell r="E96" t="str">
            <v xml:space="preserve"> HINGE ASS'Y,HOOD RH</v>
          </cell>
          <cell r="G96">
            <v>1</v>
          </cell>
          <cell r="AZ96" t="str">
            <v>B</v>
          </cell>
          <cell r="BA96" t="str">
            <v>광진상공</v>
          </cell>
          <cell r="BB96" t="str">
            <v>H50A18K</v>
          </cell>
          <cell r="BD96" t="str">
            <v>K596</v>
          </cell>
          <cell r="BE96" t="str">
            <v>ALL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/>
          <cell r="BN96"/>
          <cell r="BO96"/>
          <cell r="BP96"/>
          <cell r="BQ96"/>
          <cell r="BR96"/>
          <cell r="BS96"/>
          <cell r="BT96"/>
          <cell r="BU96"/>
          <cell r="BV96"/>
          <cell r="BW96"/>
          <cell r="BX96"/>
          <cell r="BY96"/>
          <cell r="BZ96"/>
          <cell r="CA96"/>
          <cell r="CB96"/>
          <cell r="CC96"/>
          <cell r="CD96"/>
          <cell r="CE96"/>
          <cell r="CF96"/>
          <cell r="CG96"/>
          <cell r="CH96"/>
          <cell r="CI96"/>
          <cell r="CJ96"/>
          <cell r="CK96"/>
        </row>
        <row r="97">
          <cell r="C97">
            <v>2584</v>
          </cell>
          <cell r="D97" t="str">
            <v>MB023141A</v>
          </cell>
          <cell r="E97" t="str">
            <v xml:space="preserve"> DR ASS'Y,FUEL FILLER</v>
          </cell>
          <cell r="G97">
            <v>1</v>
          </cell>
          <cell r="AZ97" t="str">
            <v>T</v>
          </cell>
          <cell r="BA97" t="str">
            <v>광진상공</v>
          </cell>
          <cell r="BB97" t="str">
            <v>H50B37K</v>
          </cell>
          <cell r="BD97" t="str">
            <v>K596</v>
          </cell>
          <cell r="BE97" t="str">
            <v>ALL</v>
          </cell>
          <cell r="BI97" t="e">
            <v>#REF!</v>
          </cell>
          <cell r="BJ97" t="e">
            <v>#REF!</v>
          </cell>
          <cell r="BK97" t="e">
            <v>#REF!</v>
          </cell>
          <cell r="BL97" t="e">
            <v>#REF!</v>
          </cell>
          <cell r="BM97"/>
          <cell r="BN97"/>
          <cell r="BO97"/>
          <cell r="BP97"/>
          <cell r="BQ97"/>
          <cell r="BR97"/>
          <cell r="BS97"/>
          <cell r="BT97"/>
          <cell r="BU97"/>
          <cell r="BV97"/>
          <cell r="BW97"/>
          <cell r="BX97"/>
          <cell r="BY97"/>
          <cell r="BZ97"/>
          <cell r="CA97"/>
          <cell r="CB97"/>
          <cell r="CC97"/>
          <cell r="CD97"/>
          <cell r="CE97"/>
          <cell r="CF97"/>
          <cell r="CG97"/>
          <cell r="CH97"/>
          <cell r="CI97"/>
          <cell r="CJ97"/>
          <cell r="CK97"/>
        </row>
        <row r="98">
          <cell r="C98">
            <v>0</v>
          </cell>
          <cell r="D98" t="str">
            <v>MB227647B</v>
          </cell>
          <cell r="E98" t="str">
            <v xml:space="preserve"> REINF-F/DR B/LINE OTR LH</v>
          </cell>
          <cell r="AZ98" t="str">
            <v>B</v>
          </cell>
          <cell r="BA98" t="str">
            <v>광진상공</v>
          </cell>
        </row>
        <row r="99">
          <cell r="C99">
            <v>0</v>
          </cell>
          <cell r="D99" t="str">
            <v>MB227648B</v>
          </cell>
          <cell r="E99" t="str">
            <v xml:space="preserve"> REINF-F/DR B/LINE OTR RH</v>
          </cell>
          <cell r="AZ99" t="str">
            <v>B</v>
          </cell>
          <cell r="BA99" t="str">
            <v>광진상공</v>
          </cell>
        </row>
        <row r="100">
          <cell r="C100">
            <v>2584</v>
          </cell>
          <cell r="D100" t="str">
            <v>MB250515A</v>
          </cell>
          <cell r="E100" t="str">
            <v xml:space="preserve"> SUPPORT ASS'Y,STRG COL(LHD)</v>
          </cell>
          <cell r="G100">
            <v>1</v>
          </cell>
          <cell r="AZ100" t="str">
            <v>B</v>
          </cell>
          <cell r="BA100" t="str">
            <v>광진상공</v>
          </cell>
          <cell r="BB100" t="str">
            <v>H50A18K</v>
          </cell>
          <cell r="BD100" t="str">
            <v>K596</v>
          </cell>
          <cell r="BE100" t="str">
            <v>ALL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BM100"/>
          <cell r="BN100"/>
          <cell r="BO100"/>
          <cell r="BP100"/>
          <cell r="BQ100"/>
          <cell r="BR100"/>
          <cell r="BS100"/>
          <cell r="BT100"/>
          <cell r="BU100"/>
          <cell r="BV100"/>
          <cell r="BW100"/>
          <cell r="BX100"/>
          <cell r="BY100"/>
          <cell r="BZ100"/>
          <cell r="CA100"/>
          <cell r="CB100"/>
          <cell r="CC100"/>
          <cell r="CD100"/>
          <cell r="CE100"/>
          <cell r="CF100"/>
          <cell r="CG100"/>
          <cell r="CH100"/>
          <cell r="CI100"/>
          <cell r="CJ100"/>
          <cell r="CK100"/>
        </row>
        <row r="101">
          <cell r="C101">
            <v>2584</v>
          </cell>
          <cell r="D101" t="str">
            <v>MB250537A</v>
          </cell>
          <cell r="E101" t="str">
            <v xml:space="preserve"> REINF,HINGE LH</v>
          </cell>
          <cell r="G101">
            <v>1</v>
          </cell>
          <cell r="AZ101" t="str">
            <v>B</v>
          </cell>
          <cell r="BA101" t="str">
            <v>광진상공</v>
          </cell>
          <cell r="BB101" t="str">
            <v>H50A18K</v>
          </cell>
          <cell r="BD101" t="str">
            <v>K596</v>
          </cell>
          <cell r="BE101" t="str">
            <v>ALL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/>
          <cell r="BN101"/>
          <cell r="BO101"/>
          <cell r="BP101"/>
          <cell r="BQ101"/>
          <cell r="BR101"/>
          <cell r="BS101"/>
          <cell r="BT101"/>
          <cell r="BU101"/>
          <cell r="BV101"/>
          <cell r="BW101"/>
          <cell r="BX101"/>
          <cell r="BY101"/>
          <cell r="BZ101"/>
          <cell r="CA101"/>
          <cell r="CB101"/>
          <cell r="CC101"/>
          <cell r="CD101"/>
          <cell r="CE101"/>
          <cell r="CF101"/>
          <cell r="CG101"/>
          <cell r="CH101"/>
          <cell r="CI101"/>
          <cell r="CJ101"/>
          <cell r="CK101"/>
        </row>
        <row r="102">
          <cell r="C102">
            <v>2584</v>
          </cell>
          <cell r="D102" t="str">
            <v>MB250538A</v>
          </cell>
          <cell r="E102" t="str">
            <v xml:space="preserve"> REINF,HINGE RH</v>
          </cell>
          <cell r="G102">
            <v>1</v>
          </cell>
          <cell r="AZ102" t="str">
            <v>B</v>
          </cell>
          <cell r="BA102" t="str">
            <v>광진상공</v>
          </cell>
          <cell r="BB102" t="str">
            <v>H50A18K</v>
          </cell>
          <cell r="BD102" t="str">
            <v>K596</v>
          </cell>
          <cell r="BE102" t="str">
            <v>ALL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  <cell r="BM102"/>
          <cell r="BN102"/>
          <cell r="BO102"/>
          <cell r="BP102"/>
          <cell r="BQ102"/>
          <cell r="BR102"/>
          <cell r="BS102"/>
          <cell r="BT102"/>
          <cell r="BU102"/>
          <cell r="BV102"/>
          <cell r="BW102"/>
          <cell r="BX102"/>
          <cell r="BY102"/>
          <cell r="BZ102"/>
          <cell r="CA102"/>
          <cell r="CB102"/>
          <cell r="CC102"/>
          <cell r="CD102"/>
          <cell r="CE102"/>
          <cell r="CF102"/>
          <cell r="CG102"/>
          <cell r="CH102"/>
          <cell r="CI102"/>
          <cell r="CJ102"/>
          <cell r="CK102"/>
        </row>
        <row r="103">
          <cell r="C103">
            <v>2584</v>
          </cell>
          <cell r="D103" t="str">
            <v>MB250624A</v>
          </cell>
          <cell r="E103" t="str">
            <v xml:space="preserve"> BRKT ASS'Y,HOOD CATCH</v>
          </cell>
          <cell r="G103">
            <v>1</v>
          </cell>
          <cell r="AZ103" t="str">
            <v>B</v>
          </cell>
          <cell r="BA103" t="str">
            <v>광진상공</v>
          </cell>
          <cell r="BB103" t="str">
            <v>H50C39K</v>
          </cell>
          <cell r="BD103" t="str">
            <v>K596</v>
          </cell>
          <cell r="BE103" t="str">
            <v>ALL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/>
          <cell r="BN103"/>
          <cell r="BO103"/>
          <cell r="BP103"/>
          <cell r="BQ103"/>
          <cell r="BR103"/>
          <cell r="BS103"/>
          <cell r="BT103"/>
          <cell r="BU103"/>
          <cell r="BV103"/>
          <cell r="BW103"/>
          <cell r="BX103"/>
          <cell r="BY103"/>
          <cell r="BZ103"/>
          <cell r="CA103"/>
          <cell r="CB103"/>
          <cell r="CC103"/>
          <cell r="CD103"/>
          <cell r="CE103"/>
          <cell r="CF103"/>
          <cell r="CG103"/>
          <cell r="CH103"/>
          <cell r="CI103"/>
          <cell r="CJ103"/>
          <cell r="CK103"/>
        </row>
        <row r="104">
          <cell r="C104">
            <v>2584</v>
          </cell>
          <cell r="D104" t="str">
            <v>MB270013A</v>
          </cell>
          <cell r="E104" t="str">
            <v xml:space="preserve"> HOOK,HOOD</v>
          </cell>
          <cell r="G104">
            <v>1</v>
          </cell>
          <cell r="AZ104" t="str">
            <v>T</v>
          </cell>
          <cell r="BA104" t="str">
            <v>광진상공</v>
          </cell>
          <cell r="BB104" t="str">
            <v>H51A35K</v>
          </cell>
          <cell r="BD104" t="str">
            <v>K596</v>
          </cell>
          <cell r="BE104" t="str">
            <v>ALL</v>
          </cell>
          <cell r="BI104" t="e">
            <v>#REF!</v>
          </cell>
          <cell r="BJ104" t="e">
            <v>#REF!</v>
          </cell>
          <cell r="BK104" t="e">
            <v>#REF!</v>
          </cell>
          <cell r="BL104" t="e">
            <v>#REF!</v>
          </cell>
          <cell r="BM104"/>
          <cell r="BN104"/>
          <cell r="BO104"/>
          <cell r="BP104"/>
          <cell r="BQ104"/>
          <cell r="BR104"/>
          <cell r="BS104"/>
          <cell r="BT104"/>
          <cell r="BU104"/>
          <cell r="BV104"/>
          <cell r="BW104"/>
          <cell r="BX104"/>
          <cell r="BY104"/>
          <cell r="BZ104"/>
          <cell r="CA104"/>
          <cell r="CB104"/>
          <cell r="CC104"/>
          <cell r="CD104"/>
          <cell r="CE104"/>
          <cell r="CF104"/>
          <cell r="CG104"/>
          <cell r="CH104"/>
          <cell r="CI104"/>
          <cell r="CJ104"/>
          <cell r="CK104"/>
        </row>
        <row r="105">
          <cell r="C105">
            <v>2584</v>
          </cell>
          <cell r="D105" t="str">
            <v>MB270531A</v>
          </cell>
          <cell r="E105" t="str">
            <v xml:space="preserve"> REINF HOOD HINGE LH</v>
          </cell>
          <cell r="G105">
            <v>1</v>
          </cell>
          <cell r="AZ105" t="str">
            <v>B</v>
          </cell>
          <cell r="BA105" t="str">
            <v>광진상공</v>
          </cell>
          <cell r="BB105" t="str">
            <v>H50B35K</v>
          </cell>
          <cell r="BD105" t="str">
            <v>K596</v>
          </cell>
          <cell r="BE105" t="str">
            <v>ALL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/>
          <cell r="BN105"/>
          <cell r="BO105"/>
          <cell r="BP105"/>
          <cell r="BQ105"/>
          <cell r="BR105"/>
          <cell r="BS105"/>
          <cell r="BT105"/>
          <cell r="BU105"/>
          <cell r="BV105"/>
          <cell r="BW105"/>
          <cell r="BX105"/>
          <cell r="BY105"/>
          <cell r="BZ105"/>
          <cell r="CA105"/>
          <cell r="CB105"/>
          <cell r="CC105"/>
          <cell r="CD105"/>
          <cell r="CE105"/>
          <cell r="CF105"/>
          <cell r="CG105"/>
          <cell r="CH105"/>
          <cell r="CI105"/>
          <cell r="CJ105"/>
          <cell r="CK105"/>
        </row>
        <row r="106">
          <cell r="C106">
            <v>2584</v>
          </cell>
          <cell r="D106" t="str">
            <v>MB270532A</v>
          </cell>
          <cell r="E106" t="str">
            <v xml:space="preserve"> REINF HOOD HINGE RH</v>
          </cell>
          <cell r="G106">
            <v>1</v>
          </cell>
          <cell r="AZ106" t="str">
            <v>B</v>
          </cell>
          <cell r="BA106" t="str">
            <v>광진상공</v>
          </cell>
          <cell r="BB106" t="str">
            <v>H50B35K</v>
          </cell>
          <cell r="BD106" t="str">
            <v>K596</v>
          </cell>
          <cell r="BE106" t="str">
            <v>ALL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/>
          <cell r="BN106"/>
          <cell r="BO106"/>
          <cell r="BP106"/>
          <cell r="BQ106"/>
          <cell r="BR106"/>
          <cell r="BS106"/>
          <cell r="BT106"/>
          <cell r="BU106"/>
          <cell r="BV106"/>
          <cell r="BW106"/>
          <cell r="BX106"/>
          <cell r="BY106"/>
          <cell r="BZ106"/>
          <cell r="CA106"/>
          <cell r="CB106"/>
          <cell r="CC106"/>
          <cell r="CD106"/>
          <cell r="CE106"/>
          <cell r="CF106"/>
          <cell r="CG106"/>
          <cell r="CH106"/>
          <cell r="CI106"/>
          <cell r="CJ106"/>
          <cell r="CK106"/>
        </row>
        <row r="107">
          <cell r="C107">
            <v>2584</v>
          </cell>
          <cell r="D107" t="str">
            <v>MB274498A</v>
          </cell>
          <cell r="E107" t="str">
            <v xml:space="preserve"> LATCH,HOOD</v>
          </cell>
          <cell r="G107">
            <v>1</v>
          </cell>
          <cell r="AZ107" t="str">
            <v>T</v>
          </cell>
          <cell r="BA107" t="str">
            <v>광진상공</v>
          </cell>
          <cell r="BB107" t="str">
            <v>H51A35K</v>
          </cell>
          <cell r="BC107" t="str">
            <v>A1</v>
          </cell>
          <cell r="BD107" t="str">
            <v>K596</v>
          </cell>
          <cell r="BE107" t="str">
            <v>ALL</v>
          </cell>
          <cell r="BI107" t="e">
            <v>#REF!</v>
          </cell>
          <cell r="BJ107" t="e">
            <v>#REF!</v>
          </cell>
          <cell r="BK107" t="e">
            <v>#REF!</v>
          </cell>
          <cell r="BL107" t="e">
            <v>#REF!</v>
          </cell>
          <cell r="BM107"/>
          <cell r="BN107"/>
          <cell r="BO107"/>
          <cell r="BP107"/>
          <cell r="BQ107"/>
          <cell r="BR107"/>
          <cell r="BS107"/>
          <cell r="BT107"/>
          <cell r="BU107"/>
          <cell r="BV107"/>
          <cell r="BW107"/>
          <cell r="BX107"/>
          <cell r="BY107"/>
          <cell r="BZ107"/>
          <cell r="CA107"/>
          <cell r="CB107"/>
          <cell r="CC107"/>
          <cell r="CD107"/>
          <cell r="CE107"/>
          <cell r="CF107"/>
          <cell r="CG107"/>
          <cell r="CH107"/>
          <cell r="CI107"/>
          <cell r="CJ107"/>
          <cell r="CK107"/>
        </row>
        <row r="108">
          <cell r="C108">
            <v>2584</v>
          </cell>
          <cell r="D108" t="str">
            <v>MB274630</v>
          </cell>
          <cell r="E108" t="str">
            <v xml:space="preserve"> STAY,HOOD CATCH(A)</v>
          </cell>
          <cell r="G108">
            <v>1</v>
          </cell>
          <cell r="AZ108" t="str">
            <v>B</v>
          </cell>
          <cell r="BA108" t="str">
            <v>광진상공</v>
          </cell>
          <cell r="BB108" t="str">
            <v>H50C90K</v>
          </cell>
          <cell r="BD108" t="str">
            <v>K596</v>
          </cell>
          <cell r="BE108" t="str">
            <v>ALL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/>
          <cell r="BN108"/>
          <cell r="BO108"/>
          <cell r="BP108"/>
          <cell r="BQ108"/>
          <cell r="BR108"/>
          <cell r="BS108"/>
          <cell r="BT108"/>
          <cell r="BU108"/>
          <cell r="BV108"/>
          <cell r="BW108"/>
          <cell r="BX108"/>
          <cell r="BY108"/>
          <cell r="BZ108"/>
          <cell r="CA108"/>
          <cell r="CB108"/>
          <cell r="CC108"/>
          <cell r="CD108"/>
          <cell r="CE108"/>
          <cell r="CF108"/>
          <cell r="CG108"/>
          <cell r="CH108"/>
          <cell r="CI108"/>
          <cell r="CJ108"/>
          <cell r="CK108"/>
        </row>
        <row r="109">
          <cell r="C109">
            <v>2584</v>
          </cell>
          <cell r="D109" t="str">
            <v>MB274749</v>
          </cell>
          <cell r="E109" t="str">
            <v xml:space="preserve"> REINF LH</v>
          </cell>
          <cell r="G109">
            <v>1</v>
          </cell>
          <cell r="AZ109" t="str">
            <v>B</v>
          </cell>
          <cell r="BA109" t="str">
            <v>광진상공</v>
          </cell>
          <cell r="BB109" t="str">
            <v>H50A16K</v>
          </cell>
          <cell r="BD109" t="str">
            <v>K596</v>
          </cell>
          <cell r="BE109" t="str">
            <v>ALL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/>
          <cell r="BN109"/>
          <cell r="BO109"/>
          <cell r="BP109"/>
          <cell r="BQ109"/>
          <cell r="BR109"/>
          <cell r="BS109"/>
          <cell r="BT109"/>
          <cell r="BU109"/>
          <cell r="BV109"/>
          <cell r="BW109"/>
          <cell r="BX109"/>
          <cell r="BY109"/>
          <cell r="BZ109"/>
          <cell r="CA109"/>
          <cell r="CB109"/>
          <cell r="CC109"/>
          <cell r="CD109"/>
          <cell r="CE109"/>
          <cell r="CF109"/>
          <cell r="CG109"/>
          <cell r="CH109"/>
          <cell r="CI109"/>
          <cell r="CJ109"/>
          <cell r="CK109"/>
        </row>
        <row r="110">
          <cell r="C110">
            <v>2584</v>
          </cell>
          <cell r="D110" t="str">
            <v>MB274750</v>
          </cell>
          <cell r="E110" t="str">
            <v xml:space="preserve"> REINF RH</v>
          </cell>
          <cell r="F110" t="str">
            <v>MB274710A</v>
          </cell>
          <cell r="G110">
            <v>1</v>
          </cell>
          <cell r="AZ110" t="str">
            <v>B</v>
          </cell>
          <cell r="BA110" t="str">
            <v>광진상공</v>
          </cell>
          <cell r="BB110" t="str">
            <v>H50A16K</v>
          </cell>
          <cell r="BD110" t="str">
            <v>K596</v>
          </cell>
          <cell r="BE110" t="str">
            <v>ALL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/>
          <cell r="BN110"/>
          <cell r="BO110"/>
          <cell r="BP110"/>
          <cell r="BQ110"/>
          <cell r="BR110"/>
          <cell r="BS110"/>
          <cell r="BT110"/>
          <cell r="BU110"/>
          <cell r="BV110"/>
          <cell r="BW110"/>
          <cell r="BX110"/>
          <cell r="BY110"/>
          <cell r="BZ110"/>
          <cell r="CA110"/>
          <cell r="CB110"/>
          <cell r="CC110"/>
          <cell r="CD110"/>
          <cell r="CE110"/>
          <cell r="CF110"/>
          <cell r="CG110"/>
          <cell r="CH110"/>
          <cell r="CI110"/>
          <cell r="CJ110"/>
          <cell r="CK110"/>
        </row>
        <row r="111">
          <cell r="C111">
            <v>2584</v>
          </cell>
          <cell r="D111" t="str">
            <v>MB275737A</v>
          </cell>
          <cell r="E111" t="str">
            <v xml:space="preserve"> BRKT,FUEL FILLER NECK</v>
          </cell>
          <cell r="G111">
            <v>1</v>
          </cell>
          <cell r="AZ111" t="str">
            <v>B</v>
          </cell>
          <cell r="BA111" t="str">
            <v>광진상공</v>
          </cell>
          <cell r="BB111" t="str">
            <v>H50A17K</v>
          </cell>
          <cell r="BD111" t="str">
            <v>K596</v>
          </cell>
          <cell r="BE111" t="str">
            <v>ALL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  <cell r="BM111"/>
          <cell r="BN111"/>
          <cell r="BO111"/>
          <cell r="BP111"/>
          <cell r="BQ111"/>
          <cell r="BR111"/>
          <cell r="BS111"/>
          <cell r="BT111"/>
          <cell r="BU111"/>
          <cell r="BV111"/>
          <cell r="BW111"/>
          <cell r="BX111"/>
          <cell r="BY111"/>
          <cell r="BZ111"/>
          <cell r="CA111"/>
          <cell r="CB111"/>
          <cell r="CC111"/>
          <cell r="CD111"/>
          <cell r="CE111"/>
          <cell r="CF111"/>
          <cell r="CG111"/>
          <cell r="CH111"/>
          <cell r="CI111"/>
          <cell r="CJ111"/>
          <cell r="CK111"/>
        </row>
        <row r="112">
          <cell r="C112">
            <v>1892</v>
          </cell>
          <cell r="D112" t="str">
            <v>MB320013A</v>
          </cell>
          <cell r="E112" t="str">
            <v xml:space="preserve"> REINF,R/DR BELT LINE OTR  </v>
          </cell>
          <cell r="I112">
            <v>1</v>
          </cell>
          <cell r="J112">
            <v>1</v>
          </cell>
          <cell r="K112">
            <v>1</v>
          </cell>
          <cell r="O112">
            <v>1</v>
          </cell>
          <cell r="Q112">
            <v>1</v>
          </cell>
          <cell r="S112">
            <v>1</v>
          </cell>
          <cell r="T112">
            <v>1</v>
          </cell>
          <cell r="V112">
            <v>1</v>
          </cell>
          <cell r="X112">
            <v>1</v>
          </cell>
          <cell r="Y112">
            <v>1</v>
          </cell>
          <cell r="Z112">
            <v>1</v>
          </cell>
          <cell r="AA112">
            <v>1</v>
          </cell>
          <cell r="AE112">
            <v>1</v>
          </cell>
          <cell r="AG112">
            <v>1</v>
          </cell>
          <cell r="AI112">
            <v>1</v>
          </cell>
          <cell r="AJ112">
            <v>1</v>
          </cell>
          <cell r="AK112">
            <v>1</v>
          </cell>
          <cell r="AQ112">
            <v>1</v>
          </cell>
          <cell r="AR112">
            <v>1</v>
          </cell>
          <cell r="AS112">
            <v>1</v>
          </cell>
          <cell r="AT112">
            <v>1</v>
          </cell>
          <cell r="AU112">
            <v>1</v>
          </cell>
          <cell r="AV112">
            <v>1</v>
          </cell>
          <cell r="AX112">
            <v>1</v>
          </cell>
          <cell r="AY112">
            <v>1</v>
          </cell>
          <cell r="AZ112" t="str">
            <v>B</v>
          </cell>
          <cell r="BA112" t="str">
            <v>광진상공</v>
          </cell>
          <cell r="BB112" t="str">
            <v>H50B32K</v>
          </cell>
          <cell r="BD112" t="str">
            <v>K596</v>
          </cell>
          <cell r="BI112">
            <v>888</v>
          </cell>
          <cell r="BJ112">
            <v>458</v>
          </cell>
          <cell r="BK112">
            <v>90</v>
          </cell>
          <cell r="BL112">
            <v>100</v>
          </cell>
          <cell r="BM112"/>
          <cell r="BN112"/>
          <cell r="BO112"/>
          <cell r="BP112"/>
          <cell r="BQ112"/>
          <cell r="BR112"/>
          <cell r="BS112"/>
          <cell r="BT112"/>
          <cell r="BU112"/>
          <cell r="BV112"/>
          <cell r="BW112"/>
          <cell r="BX112"/>
          <cell r="BY112"/>
          <cell r="BZ112"/>
          <cell r="CA112"/>
          <cell r="CB112"/>
          <cell r="CC112"/>
          <cell r="CD112"/>
          <cell r="CE112"/>
          <cell r="CF112"/>
          <cell r="CG112"/>
          <cell r="CH112"/>
          <cell r="CI112"/>
          <cell r="CJ112"/>
          <cell r="CK112"/>
          <cell r="CL112"/>
          <cell r="CM112"/>
          <cell r="CN112"/>
          <cell r="CO112"/>
          <cell r="CP112"/>
          <cell r="CQ112"/>
        </row>
        <row r="113">
          <cell r="C113">
            <v>1892</v>
          </cell>
          <cell r="D113" t="str">
            <v>MB320013A</v>
          </cell>
          <cell r="E113" t="str">
            <v xml:space="preserve"> REINF,R/DR BELT LINE OTR  </v>
          </cell>
          <cell r="I113">
            <v>1</v>
          </cell>
          <cell r="J113">
            <v>1</v>
          </cell>
          <cell r="K113">
            <v>1</v>
          </cell>
          <cell r="O113">
            <v>1</v>
          </cell>
          <cell r="Q113">
            <v>1</v>
          </cell>
          <cell r="S113">
            <v>1</v>
          </cell>
          <cell r="T113">
            <v>1</v>
          </cell>
          <cell r="V113">
            <v>1</v>
          </cell>
          <cell r="X113">
            <v>1</v>
          </cell>
          <cell r="Y113">
            <v>1</v>
          </cell>
          <cell r="Z113">
            <v>1</v>
          </cell>
          <cell r="AA113">
            <v>1</v>
          </cell>
          <cell r="AE113">
            <v>1</v>
          </cell>
          <cell r="AG113">
            <v>1</v>
          </cell>
          <cell r="AI113">
            <v>1</v>
          </cell>
          <cell r="AJ113">
            <v>1</v>
          </cell>
          <cell r="AK113">
            <v>1</v>
          </cell>
          <cell r="AQ113">
            <v>1</v>
          </cell>
          <cell r="AR113">
            <v>1</v>
          </cell>
          <cell r="AS113">
            <v>1</v>
          </cell>
          <cell r="AT113">
            <v>1</v>
          </cell>
          <cell r="AU113">
            <v>1</v>
          </cell>
          <cell r="AV113">
            <v>1</v>
          </cell>
          <cell r="AX113">
            <v>1</v>
          </cell>
          <cell r="AY113">
            <v>1</v>
          </cell>
          <cell r="AZ113" t="str">
            <v>B</v>
          </cell>
          <cell r="BA113" t="str">
            <v>광진상공</v>
          </cell>
          <cell r="BB113" t="str">
            <v>H50B32K</v>
          </cell>
          <cell r="BD113" t="str">
            <v>K596</v>
          </cell>
          <cell r="BI113">
            <v>888</v>
          </cell>
          <cell r="BJ113">
            <v>458</v>
          </cell>
          <cell r="BK113">
            <v>90</v>
          </cell>
          <cell r="BL113">
            <v>100</v>
          </cell>
          <cell r="BM113"/>
          <cell r="BN113"/>
          <cell r="BO113"/>
          <cell r="BP113"/>
          <cell r="BQ113"/>
          <cell r="BR113"/>
          <cell r="BS113"/>
          <cell r="BT113"/>
          <cell r="BU113"/>
          <cell r="BV113"/>
          <cell r="BW113"/>
          <cell r="BX113"/>
          <cell r="BY113"/>
          <cell r="BZ113"/>
          <cell r="CA113"/>
          <cell r="CB113"/>
          <cell r="CC113"/>
          <cell r="CD113"/>
          <cell r="CE113"/>
          <cell r="CF113"/>
          <cell r="CG113"/>
          <cell r="CH113"/>
          <cell r="CI113"/>
          <cell r="CJ113"/>
          <cell r="CK113"/>
          <cell r="CL113"/>
          <cell r="CM113"/>
          <cell r="CN113"/>
          <cell r="CO113"/>
          <cell r="CP113"/>
          <cell r="CQ113"/>
        </row>
        <row r="114">
          <cell r="C114">
            <v>2584</v>
          </cell>
          <cell r="D114" t="str">
            <v>MB421980A</v>
          </cell>
          <cell r="E114" t="str">
            <v xml:space="preserve"> REINF,CORNER(A)</v>
          </cell>
          <cell r="G114">
            <v>1</v>
          </cell>
          <cell r="AZ114" t="str">
            <v>B</v>
          </cell>
          <cell r="BA114" t="str">
            <v>광진상공</v>
          </cell>
          <cell r="BB114" t="str">
            <v>H50B33K</v>
          </cell>
          <cell r="BD114" t="str">
            <v>K596</v>
          </cell>
          <cell r="BE114" t="str">
            <v>ALL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/>
          <cell r="BN114"/>
          <cell r="BO114"/>
          <cell r="BP114"/>
          <cell r="BQ114"/>
          <cell r="BR114"/>
          <cell r="BS114"/>
          <cell r="BT114"/>
          <cell r="BU114"/>
          <cell r="BV114"/>
          <cell r="BW114"/>
          <cell r="BX114"/>
          <cell r="BY114"/>
          <cell r="BZ114"/>
          <cell r="CA114"/>
          <cell r="CB114"/>
          <cell r="CC114"/>
          <cell r="CD114"/>
          <cell r="CE114"/>
          <cell r="CF114"/>
          <cell r="CG114"/>
          <cell r="CH114"/>
          <cell r="CI114"/>
          <cell r="CJ114"/>
          <cell r="CK114"/>
        </row>
        <row r="115">
          <cell r="C115">
            <v>2584</v>
          </cell>
          <cell r="D115" t="str">
            <v>MB421981A</v>
          </cell>
          <cell r="E115" t="str">
            <v xml:space="preserve"> REINF,CORNER(B)</v>
          </cell>
          <cell r="G115">
            <v>1</v>
          </cell>
          <cell r="AZ115" t="str">
            <v>B</v>
          </cell>
          <cell r="BA115" t="str">
            <v>광진상공</v>
          </cell>
          <cell r="BB115" t="str">
            <v>H50B33K</v>
          </cell>
          <cell r="BD115" t="str">
            <v>K596</v>
          </cell>
          <cell r="BE115" t="str">
            <v>ALL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/>
          <cell r="BN115"/>
          <cell r="BO115"/>
          <cell r="BP115"/>
          <cell r="BQ115"/>
          <cell r="BR115"/>
          <cell r="BS115"/>
          <cell r="BT115"/>
          <cell r="BU115"/>
          <cell r="BV115"/>
          <cell r="BW115"/>
          <cell r="BX115"/>
          <cell r="BY115"/>
          <cell r="BZ115"/>
          <cell r="CA115"/>
          <cell r="CB115"/>
          <cell r="CC115"/>
          <cell r="CD115"/>
          <cell r="CE115"/>
          <cell r="CF115"/>
          <cell r="CG115"/>
          <cell r="CH115"/>
          <cell r="CI115"/>
          <cell r="CJ115"/>
          <cell r="CK115"/>
        </row>
        <row r="116">
          <cell r="C116">
            <v>559</v>
          </cell>
          <cell r="D116" t="str">
            <v>XB250961A</v>
          </cell>
          <cell r="E116" t="str">
            <v xml:space="preserve"> COVER,RR VENT LH</v>
          </cell>
          <cell r="H116">
            <v>1</v>
          </cell>
          <cell r="I116">
            <v>1</v>
          </cell>
          <cell r="R116">
            <v>1</v>
          </cell>
          <cell r="AB116">
            <v>1</v>
          </cell>
          <cell r="AF116">
            <v>1</v>
          </cell>
          <cell r="AG116">
            <v>1</v>
          </cell>
          <cell r="AH116"/>
          <cell r="AI116"/>
          <cell r="AJ116"/>
          <cell r="AK116"/>
          <cell r="AL116"/>
          <cell r="AM116"/>
          <cell r="AN116"/>
          <cell r="AO116"/>
          <cell r="AP116"/>
          <cell r="AQ116"/>
          <cell r="AR116"/>
          <cell r="AS116"/>
          <cell r="AT116"/>
          <cell r="AU116"/>
          <cell r="AV116"/>
          <cell r="AW116"/>
          <cell r="AX116"/>
          <cell r="AY116"/>
          <cell r="AZ116" t="str">
            <v>B</v>
          </cell>
          <cell r="BA116" t="str">
            <v>광진상공</v>
          </cell>
          <cell r="BB116" t="str">
            <v>H50C90K</v>
          </cell>
          <cell r="BC116"/>
          <cell r="BD116" t="str">
            <v>K596</v>
          </cell>
          <cell r="BE116" t="str">
            <v>STD</v>
          </cell>
          <cell r="BF116"/>
          <cell r="BG116"/>
          <cell r="BH116"/>
          <cell r="BI116">
            <v>20</v>
          </cell>
          <cell r="BJ116">
            <v>539</v>
          </cell>
          <cell r="BK116">
            <v>0</v>
          </cell>
          <cell r="BL116">
            <v>0</v>
          </cell>
          <cell r="BM116"/>
          <cell r="BN116"/>
          <cell r="BO116"/>
          <cell r="BP116"/>
          <cell r="BQ116"/>
          <cell r="BR116"/>
          <cell r="BS116"/>
          <cell r="BT116"/>
          <cell r="BU116"/>
          <cell r="BV116"/>
          <cell r="BW116"/>
          <cell r="BX116"/>
          <cell r="BY116"/>
          <cell r="BZ116"/>
          <cell r="CA116"/>
          <cell r="CB116"/>
          <cell r="CC116"/>
          <cell r="CD116"/>
          <cell r="CE116"/>
          <cell r="CF116"/>
          <cell r="CG116"/>
          <cell r="CH116"/>
          <cell r="CI116"/>
          <cell r="CJ116"/>
          <cell r="CK116"/>
          <cell r="CL116"/>
          <cell r="CM116"/>
          <cell r="CN116"/>
        </row>
        <row r="117">
          <cell r="C117">
            <v>559</v>
          </cell>
          <cell r="D117" t="str">
            <v>XB250962A</v>
          </cell>
          <cell r="E117" t="str">
            <v xml:space="preserve"> COVER,RR VENT RH</v>
          </cell>
          <cell r="H117">
            <v>1</v>
          </cell>
          <cell r="I117">
            <v>1</v>
          </cell>
          <cell r="R117">
            <v>1</v>
          </cell>
          <cell r="AB117">
            <v>1</v>
          </cell>
          <cell r="AF117">
            <v>1</v>
          </cell>
          <cell r="AG117">
            <v>1</v>
          </cell>
          <cell r="AH117"/>
          <cell r="AI117"/>
          <cell r="AJ117"/>
          <cell r="AK117"/>
          <cell r="AL117"/>
          <cell r="AM117"/>
          <cell r="AN117"/>
          <cell r="AO117"/>
          <cell r="AP117"/>
          <cell r="AQ117"/>
          <cell r="AR117"/>
          <cell r="AS117"/>
          <cell r="AT117"/>
          <cell r="AU117"/>
          <cell r="AV117"/>
          <cell r="AW117"/>
          <cell r="AX117"/>
          <cell r="AY117"/>
          <cell r="AZ117" t="str">
            <v>B</v>
          </cell>
          <cell r="BA117" t="str">
            <v>광진상공</v>
          </cell>
          <cell r="BB117" t="str">
            <v>H50C90K</v>
          </cell>
          <cell r="BC117"/>
          <cell r="BD117" t="str">
            <v>K596</v>
          </cell>
          <cell r="BE117" t="str">
            <v>STD</v>
          </cell>
          <cell r="BF117"/>
          <cell r="BG117"/>
          <cell r="BH117"/>
          <cell r="BI117">
            <v>20</v>
          </cell>
          <cell r="BJ117">
            <v>539</v>
          </cell>
          <cell r="BK117">
            <v>0</v>
          </cell>
          <cell r="BL117">
            <v>0</v>
          </cell>
          <cell r="BM117"/>
          <cell r="BN117"/>
          <cell r="BO117"/>
          <cell r="BP117"/>
          <cell r="BQ117"/>
          <cell r="BR117"/>
          <cell r="BS117"/>
          <cell r="BT117"/>
          <cell r="BU117"/>
          <cell r="BV117"/>
          <cell r="BW117"/>
          <cell r="BX117"/>
          <cell r="BY117"/>
          <cell r="BZ117"/>
          <cell r="CA117"/>
          <cell r="CB117"/>
          <cell r="CC117"/>
          <cell r="CD117"/>
          <cell r="CE117"/>
          <cell r="CF117"/>
          <cell r="CG117"/>
          <cell r="CH117"/>
          <cell r="CI117"/>
          <cell r="CJ117"/>
          <cell r="CK117"/>
          <cell r="CL117"/>
          <cell r="CM117"/>
          <cell r="CN117"/>
        </row>
        <row r="118">
          <cell r="C118">
            <v>1408</v>
          </cell>
          <cell r="D118" t="str">
            <v>MB304694B</v>
          </cell>
          <cell r="E118" t="str">
            <v xml:space="preserve"> MEMBER ASSY,ENG SPUT.RR</v>
          </cell>
          <cell r="F118" t="str">
            <v>+431B</v>
          </cell>
          <cell r="K118">
            <v>1</v>
          </cell>
          <cell r="M118">
            <v>1</v>
          </cell>
          <cell r="N118">
            <v>1</v>
          </cell>
          <cell r="O118">
            <v>1</v>
          </cell>
          <cell r="P118">
            <v>1</v>
          </cell>
          <cell r="Q118">
            <v>1</v>
          </cell>
          <cell r="T118">
            <v>1</v>
          </cell>
          <cell r="W118">
            <v>1</v>
          </cell>
          <cell r="X118">
            <v>1</v>
          </cell>
          <cell r="AD118">
            <v>1</v>
          </cell>
          <cell r="AE118">
            <v>1</v>
          </cell>
          <cell r="AH118">
            <v>1</v>
          </cell>
          <cell r="AI118">
            <v>1</v>
          </cell>
          <cell r="AN118">
            <v>1</v>
          </cell>
          <cell r="AS118">
            <v>1</v>
          </cell>
          <cell r="AW118">
            <v>1</v>
          </cell>
          <cell r="AZ118" t="str">
            <v>T</v>
          </cell>
          <cell r="BA118" t="str">
            <v>금창</v>
          </cell>
        </row>
        <row r="119">
          <cell r="C119">
            <v>1334</v>
          </cell>
          <cell r="D119" t="str">
            <v>MB309653B</v>
          </cell>
          <cell r="E119" t="str">
            <v xml:space="preserve"> BRKT-ENG SUPT,RR</v>
          </cell>
          <cell r="F119" t="str">
            <v>+431B</v>
          </cell>
          <cell r="K119">
            <v>1</v>
          </cell>
          <cell r="M119">
            <v>1</v>
          </cell>
          <cell r="N119">
            <v>1</v>
          </cell>
          <cell r="O119">
            <v>1</v>
          </cell>
          <cell r="P119">
            <v>1</v>
          </cell>
          <cell r="Q119">
            <v>1</v>
          </cell>
          <cell r="T119">
            <v>1</v>
          </cell>
          <cell r="AD119">
            <v>1</v>
          </cell>
          <cell r="AO119">
            <v>1</v>
          </cell>
          <cell r="AS119">
            <v>1</v>
          </cell>
          <cell r="AZ119" t="str">
            <v>T</v>
          </cell>
          <cell r="BA119" t="str">
            <v>금창</v>
          </cell>
          <cell r="BB119"/>
          <cell r="BC119"/>
        </row>
        <row r="120">
          <cell r="C120">
            <v>5168</v>
          </cell>
          <cell r="D120" t="str">
            <v>HG000004</v>
          </cell>
          <cell r="E120" t="str">
            <v xml:space="preserve"> BAR ASSY RR/DR IMPACT LH</v>
          </cell>
          <cell r="G120">
            <v>2</v>
          </cell>
          <cell r="AZ120" t="str">
            <v>B</v>
          </cell>
          <cell r="BA120" t="str">
            <v>동양물산</v>
          </cell>
          <cell r="BD120" t="str">
            <v>M638</v>
          </cell>
          <cell r="BE120" t="str">
            <v>ALL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/>
          <cell r="BN120"/>
          <cell r="BO120"/>
          <cell r="BP120"/>
          <cell r="BQ120"/>
          <cell r="BR120"/>
          <cell r="BS120"/>
          <cell r="BT120"/>
          <cell r="BU120"/>
          <cell r="BV120"/>
          <cell r="BW120"/>
          <cell r="BX120"/>
          <cell r="BY120"/>
          <cell r="BZ120"/>
          <cell r="CA120"/>
          <cell r="CB120"/>
          <cell r="CC120"/>
          <cell r="CD120"/>
          <cell r="CE120"/>
          <cell r="CF120"/>
          <cell r="CG120"/>
          <cell r="CH120"/>
          <cell r="CI120"/>
          <cell r="CJ120"/>
          <cell r="CK120"/>
        </row>
        <row r="121">
          <cell r="C121">
            <v>1892</v>
          </cell>
          <cell r="D121" t="str">
            <v>HG200003</v>
          </cell>
          <cell r="E121" t="str">
            <v xml:space="preserve"> BAR ASSY RR/DR IMPACT RH</v>
          </cell>
          <cell r="I121">
            <v>1</v>
          </cell>
          <cell r="J121">
            <v>1</v>
          </cell>
          <cell r="K121">
            <v>1</v>
          </cell>
          <cell r="O121">
            <v>1</v>
          </cell>
          <cell r="Q121">
            <v>1</v>
          </cell>
          <cell r="S121">
            <v>1</v>
          </cell>
          <cell r="T121">
            <v>1</v>
          </cell>
          <cell r="V121">
            <v>1</v>
          </cell>
          <cell r="X121">
            <v>1</v>
          </cell>
          <cell r="Y121">
            <v>1</v>
          </cell>
          <cell r="Z121">
            <v>1</v>
          </cell>
          <cell r="AA121">
            <v>1</v>
          </cell>
          <cell r="AE121">
            <v>1</v>
          </cell>
          <cell r="AG121">
            <v>1</v>
          </cell>
          <cell r="AI121">
            <v>1</v>
          </cell>
          <cell r="AJ121">
            <v>1</v>
          </cell>
          <cell r="AK121">
            <v>1</v>
          </cell>
          <cell r="AQ121">
            <v>1</v>
          </cell>
          <cell r="AR121">
            <v>1</v>
          </cell>
          <cell r="AS121">
            <v>1</v>
          </cell>
          <cell r="AT121">
            <v>1</v>
          </cell>
          <cell r="AU121">
            <v>1</v>
          </cell>
          <cell r="AV121">
            <v>1</v>
          </cell>
          <cell r="AX121">
            <v>1</v>
          </cell>
          <cell r="AY121">
            <v>1</v>
          </cell>
          <cell r="AZ121" t="str">
            <v>B</v>
          </cell>
          <cell r="BA121" t="str">
            <v>동양물산</v>
          </cell>
          <cell r="BD121" t="str">
            <v>M638</v>
          </cell>
          <cell r="BI121">
            <v>888</v>
          </cell>
          <cell r="BJ121">
            <v>458</v>
          </cell>
          <cell r="BK121">
            <v>90</v>
          </cell>
          <cell r="BL121">
            <v>100</v>
          </cell>
          <cell r="BM121"/>
          <cell r="BN121"/>
          <cell r="BO121"/>
          <cell r="BP121"/>
          <cell r="BQ121"/>
          <cell r="BR121"/>
          <cell r="BS121"/>
          <cell r="BT121"/>
          <cell r="BU121"/>
          <cell r="BV121"/>
          <cell r="BW121"/>
          <cell r="BX121"/>
          <cell r="BY121"/>
          <cell r="BZ121"/>
          <cell r="CA121"/>
          <cell r="CB121"/>
          <cell r="CC121"/>
          <cell r="CD121"/>
          <cell r="CE121"/>
          <cell r="CF121"/>
          <cell r="CG121"/>
          <cell r="CH121"/>
          <cell r="CI121"/>
          <cell r="CJ121"/>
          <cell r="CK121"/>
          <cell r="CL121"/>
          <cell r="CM121"/>
          <cell r="CN121"/>
          <cell r="CO121"/>
          <cell r="CP121"/>
          <cell r="CQ121"/>
        </row>
        <row r="122">
          <cell r="C122">
            <v>1892</v>
          </cell>
          <cell r="D122" t="str">
            <v>HG200004</v>
          </cell>
          <cell r="E122" t="str">
            <v xml:space="preserve"> BAR ASSY FR/DR IMPACT </v>
          </cell>
          <cell r="I122">
            <v>1</v>
          </cell>
          <cell r="J122">
            <v>1</v>
          </cell>
          <cell r="K122">
            <v>1</v>
          </cell>
          <cell r="O122">
            <v>1</v>
          </cell>
          <cell r="Q122">
            <v>1</v>
          </cell>
          <cell r="S122">
            <v>1</v>
          </cell>
          <cell r="T122">
            <v>1</v>
          </cell>
          <cell r="V122">
            <v>1</v>
          </cell>
          <cell r="X122">
            <v>1</v>
          </cell>
          <cell r="Y122">
            <v>1</v>
          </cell>
          <cell r="Z122">
            <v>1</v>
          </cell>
          <cell r="AA122">
            <v>1</v>
          </cell>
          <cell r="AE122">
            <v>1</v>
          </cell>
          <cell r="AG122">
            <v>1</v>
          </cell>
          <cell r="AI122">
            <v>1</v>
          </cell>
          <cell r="AJ122">
            <v>1</v>
          </cell>
          <cell r="AK122">
            <v>1</v>
          </cell>
          <cell r="AQ122">
            <v>1</v>
          </cell>
          <cell r="AR122">
            <v>1</v>
          </cell>
          <cell r="AS122">
            <v>1</v>
          </cell>
          <cell r="AT122">
            <v>1</v>
          </cell>
          <cell r="AU122">
            <v>1</v>
          </cell>
          <cell r="AV122">
            <v>1</v>
          </cell>
          <cell r="AX122">
            <v>1</v>
          </cell>
          <cell r="AY122">
            <v>1</v>
          </cell>
          <cell r="AZ122" t="str">
            <v>B</v>
          </cell>
          <cell r="BA122" t="str">
            <v>동양물산</v>
          </cell>
          <cell r="BD122" t="str">
            <v>M638</v>
          </cell>
          <cell r="BI122">
            <v>888</v>
          </cell>
          <cell r="BJ122">
            <v>458</v>
          </cell>
          <cell r="BK122">
            <v>90</v>
          </cell>
          <cell r="BL122">
            <v>100</v>
          </cell>
          <cell r="BM122"/>
          <cell r="BN122"/>
          <cell r="BO122"/>
          <cell r="BP122"/>
          <cell r="BQ122"/>
          <cell r="BR122"/>
          <cell r="BS122"/>
          <cell r="BT122"/>
          <cell r="BU122"/>
          <cell r="BV122"/>
          <cell r="BW122"/>
          <cell r="BX122"/>
          <cell r="BY122"/>
          <cell r="BZ122"/>
          <cell r="CA122"/>
          <cell r="CB122"/>
          <cell r="CC122"/>
          <cell r="CD122"/>
          <cell r="CE122"/>
          <cell r="CF122"/>
          <cell r="CG122"/>
          <cell r="CH122"/>
          <cell r="CI122"/>
          <cell r="CJ122"/>
          <cell r="CK122"/>
          <cell r="CL122"/>
          <cell r="CM122"/>
          <cell r="CN122"/>
          <cell r="CO122"/>
          <cell r="CP122"/>
          <cell r="CQ122"/>
        </row>
        <row r="123">
          <cell r="C123">
            <v>2584</v>
          </cell>
          <cell r="D123" t="str">
            <v>HG030022</v>
          </cell>
          <cell r="E123" t="str">
            <v xml:space="preserve"> SASH FRT/DR WDO CTR LH </v>
          </cell>
          <cell r="G123">
            <v>1</v>
          </cell>
          <cell r="AZ123" t="str">
            <v>T</v>
          </cell>
          <cell r="BA123" t="str">
            <v>동원금속</v>
          </cell>
          <cell r="BB123" t="str">
            <v>H51B31K</v>
          </cell>
          <cell r="BC123" t="str">
            <v>MB365463A</v>
          </cell>
          <cell r="BD123" t="str">
            <v>L735</v>
          </cell>
          <cell r="BE123" t="str">
            <v>ALL</v>
          </cell>
          <cell r="BI123" t="e">
            <v>#REF!</v>
          </cell>
          <cell r="BJ123" t="e">
            <v>#REF!</v>
          </cell>
          <cell r="BK123" t="e">
            <v>#REF!</v>
          </cell>
          <cell r="BL123" t="e">
            <v>#REF!</v>
          </cell>
          <cell r="BM123"/>
          <cell r="BN123"/>
          <cell r="BO123"/>
          <cell r="BP123"/>
          <cell r="BQ123"/>
          <cell r="BR123"/>
          <cell r="BS123"/>
          <cell r="BT123"/>
          <cell r="BU123"/>
          <cell r="BV123"/>
          <cell r="BW123"/>
          <cell r="BX123"/>
          <cell r="BY123"/>
          <cell r="BZ123"/>
          <cell r="CA123"/>
          <cell r="CB123"/>
          <cell r="CC123"/>
          <cell r="CD123"/>
          <cell r="CE123"/>
          <cell r="CF123"/>
          <cell r="CG123"/>
          <cell r="CH123"/>
          <cell r="CI123"/>
          <cell r="CJ123"/>
          <cell r="CK123"/>
        </row>
        <row r="124">
          <cell r="C124">
            <v>2584</v>
          </cell>
          <cell r="D124" t="str">
            <v>HG030023</v>
          </cell>
          <cell r="E124" t="str">
            <v xml:space="preserve"> SASH FRT/DR WDO CTR RH </v>
          </cell>
          <cell r="G124">
            <v>1</v>
          </cell>
          <cell r="AZ124" t="str">
            <v>T</v>
          </cell>
          <cell r="BA124" t="str">
            <v>동원금속</v>
          </cell>
          <cell r="BB124" t="str">
            <v>H51B31K</v>
          </cell>
          <cell r="BC124" t="str">
            <v>MB365464A</v>
          </cell>
          <cell r="BD124" t="str">
            <v>L735</v>
          </cell>
          <cell r="BE124" t="str">
            <v>ALL</v>
          </cell>
          <cell r="BI124" t="e">
            <v>#REF!</v>
          </cell>
          <cell r="BJ124" t="e">
            <v>#REF!</v>
          </cell>
          <cell r="BK124" t="e">
            <v>#REF!</v>
          </cell>
          <cell r="BL124" t="e">
            <v>#REF!</v>
          </cell>
          <cell r="BM124"/>
          <cell r="BN124"/>
          <cell r="BO124"/>
          <cell r="BP124"/>
          <cell r="BQ124"/>
          <cell r="BR124"/>
          <cell r="BS124"/>
          <cell r="BT124"/>
          <cell r="BU124"/>
          <cell r="BV124"/>
          <cell r="BW124"/>
          <cell r="BX124"/>
          <cell r="BY124"/>
          <cell r="BZ124"/>
          <cell r="CA124"/>
          <cell r="CB124"/>
          <cell r="CC124"/>
          <cell r="CD124"/>
          <cell r="CE124"/>
          <cell r="CF124"/>
          <cell r="CG124"/>
          <cell r="CH124"/>
          <cell r="CI124"/>
          <cell r="CJ124"/>
          <cell r="CK124"/>
        </row>
        <row r="125">
          <cell r="C125">
            <v>1892</v>
          </cell>
          <cell r="D125" t="str">
            <v>HG220023</v>
          </cell>
          <cell r="E125" t="str">
            <v xml:space="preserve"> SASH,R/DR WDO CTR LH</v>
          </cell>
          <cell r="I125">
            <v>1</v>
          </cell>
          <cell r="J125">
            <v>1</v>
          </cell>
          <cell r="K125">
            <v>1</v>
          </cell>
          <cell r="O125">
            <v>1</v>
          </cell>
          <cell r="Q125">
            <v>1</v>
          </cell>
          <cell r="S125">
            <v>1</v>
          </cell>
          <cell r="T125">
            <v>1</v>
          </cell>
          <cell r="V125">
            <v>1</v>
          </cell>
          <cell r="X125">
            <v>1</v>
          </cell>
          <cell r="Y125">
            <v>1</v>
          </cell>
          <cell r="Z125">
            <v>1</v>
          </cell>
          <cell r="AA125">
            <v>1</v>
          </cell>
          <cell r="AE125">
            <v>1</v>
          </cell>
          <cell r="AG125">
            <v>1</v>
          </cell>
          <cell r="AI125">
            <v>1</v>
          </cell>
          <cell r="AJ125">
            <v>1</v>
          </cell>
          <cell r="AK125">
            <v>1</v>
          </cell>
          <cell r="AQ125">
            <v>1</v>
          </cell>
          <cell r="AR125">
            <v>1</v>
          </cell>
          <cell r="AS125">
            <v>1</v>
          </cell>
          <cell r="AT125">
            <v>1</v>
          </cell>
          <cell r="AU125">
            <v>1</v>
          </cell>
          <cell r="AV125">
            <v>1</v>
          </cell>
          <cell r="AX125">
            <v>1</v>
          </cell>
          <cell r="AY125">
            <v>1</v>
          </cell>
          <cell r="AZ125" t="str">
            <v>T</v>
          </cell>
          <cell r="BA125" t="str">
            <v>동원금속</v>
          </cell>
          <cell r="BB125" t="str">
            <v>H51B32K</v>
          </cell>
          <cell r="BC125" t="str">
            <v>MB320025</v>
          </cell>
          <cell r="BD125" t="str">
            <v>L735</v>
          </cell>
          <cell r="BI125" t="e">
            <v>#REF!</v>
          </cell>
          <cell r="BJ125" t="e">
            <v>#REF!</v>
          </cell>
          <cell r="BK125" t="e">
            <v>#REF!</v>
          </cell>
          <cell r="BL125" t="e">
            <v>#REF!</v>
          </cell>
          <cell r="BM125"/>
          <cell r="BN125"/>
          <cell r="BO125"/>
          <cell r="BP125"/>
          <cell r="BQ125"/>
          <cell r="BR125"/>
          <cell r="BS125"/>
          <cell r="BT125"/>
          <cell r="BU125"/>
          <cell r="BV125"/>
          <cell r="BW125"/>
          <cell r="BX125"/>
          <cell r="BY125"/>
          <cell r="BZ125"/>
          <cell r="CA125"/>
          <cell r="CB125"/>
          <cell r="CC125"/>
          <cell r="CD125"/>
          <cell r="CE125"/>
          <cell r="CF125"/>
          <cell r="CG125"/>
          <cell r="CH125"/>
          <cell r="CI125"/>
          <cell r="CJ125"/>
          <cell r="CK125"/>
          <cell r="CL125"/>
          <cell r="CM125"/>
          <cell r="CN125"/>
          <cell r="CO125"/>
          <cell r="CP125"/>
          <cell r="CQ125"/>
        </row>
        <row r="126">
          <cell r="C126">
            <v>1892</v>
          </cell>
          <cell r="D126" t="str">
            <v>HG220024</v>
          </cell>
          <cell r="E126" t="str">
            <v xml:space="preserve"> SASH,R/DR WDO CTR RH</v>
          </cell>
          <cell r="I126">
            <v>1</v>
          </cell>
          <cell r="J126">
            <v>1</v>
          </cell>
          <cell r="K126">
            <v>1</v>
          </cell>
          <cell r="O126">
            <v>1</v>
          </cell>
          <cell r="Q126">
            <v>1</v>
          </cell>
          <cell r="S126">
            <v>1</v>
          </cell>
          <cell r="T126">
            <v>1</v>
          </cell>
          <cell r="V126">
            <v>1</v>
          </cell>
          <cell r="X126">
            <v>1</v>
          </cell>
          <cell r="Y126">
            <v>1</v>
          </cell>
          <cell r="Z126">
            <v>1</v>
          </cell>
          <cell r="AA126">
            <v>1</v>
          </cell>
          <cell r="AE126">
            <v>1</v>
          </cell>
          <cell r="AG126">
            <v>1</v>
          </cell>
          <cell r="AI126">
            <v>1</v>
          </cell>
          <cell r="AJ126">
            <v>1</v>
          </cell>
          <cell r="AK126">
            <v>1</v>
          </cell>
          <cell r="AQ126">
            <v>1</v>
          </cell>
          <cell r="AR126">
            <v>1</v>
          </cell>
          <cell r="AS126">
            <v>1</v>
          </cell>
          <cell r="AT126">
            <v>1</v>
          </cell>
          <cell r="AU126">
            <v>1</v>
          </cell>
          <cell r="AV126">
            <v>1</v>
          </cell>
          <cell r="AX126">
            <v>1</v>
          </cell>
          <cell r="AY126">
            <v>1</v>
          </cell>
          <cell r="AZ126" t="str">
            <v>T</v>
          </cell>
          <cell r="BA126" t="str">
            <v>동원금속</v>
          </cell>
          <cell r="BB126" t="str">
            <v>H51B32K</v>
          </cell>
          <cell r="BC126" t="str">
            <v>MB320026</v>
          </cell>
          <cell r="BD126" t="str">
            <v>L735</v>
          </cell>
          <cell r="BI126" t="e">
            <v>#REF!</v>
          </cell>
          <cell r="BJ126" t="e">
            <v>#REF!</v>
          </cell>
          <cell r="BK126" t="e">
            <v>#REF!</v>
          </cell>
          <cell r="BL126" t="e">
            <v>#REF!</v>
          </cell>
          <cell r="BM126"/>
          <cell r="BN126"/>
          <cell r="BO126"/>
          <cell r="BP126"/>
          <cell r="BQ126"/>
          <cell r="BR126"/>
          <cell r="BS126"/>
          <cell r="BT126"/>
          <cell r="BU126"/>
          <cell r="BV126"/>
          <cell r="BW126"/>
          <cell r="BX126"/>
          <cell r="BY126"/>
          <cell r="BZ126"/>
          <cell r="CA126"/>
          <cell r="CB126"/>
          <cell r="CC126"/>
          <cell r="CD126"/>
          <cell r="CE126"/>
          <cell r="CF126"/>
          <cell r="CG126"/>
          <cell r="CH126"/>
          <cell r="CI126"/>
          <cell r="CJ126"/>
          <cell r="CK126"/>
          <cell r="CL126"/>
          <cell r="CM126"/>
          <cell r="CN126"/>
          <cell r="CO126"/>
          <cell r="CP126"/>
          <cell r="CQ126"/>
        </row>
        <row r="127">
          <cell r="C127">
            <v>2584</v>
          </cell>
          <cell r="D127" t="str">
            <v>MB227635A</v>
          </cell>
          <cell r="E127" t="str">
            <v xml:space="preserve"> SASH,F/DR WDO LH</v>
          </cell>
          <cell r="G127">
            <v>1</v>
          </cell>
          <cell r="AZ127" t="str">
            <v>B</v>
          </cell>
          <cell r="BA127" t="str">
            <v>동원금속</v>
          </cell>
          <cell r="BB127" t="str">
            <v>H50B31K</v>
          </cell>
          <cell r="BD127" t="str">
            <v>L735</v>
          </cell>
          <cell r="BE127" t="str">
            <v>ALL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/>
          <cell r="BN127"/>
          <cell r="BO127"/>
          <cell r="BP127"/>
          <cell r="BQ127"/>
          <cell r="BR127"/>
          <cell r="BS127"/>
          <cell r="BT127"/>
          <cell r="BU127"/>
          <cell r="BV127"/>
          <cell r="BW127"/>
          <cell r="BX127"/>
          <cell r="BY127"/>
          <cell r="BZ127"/>
          <cell r="CA127"/>
          <cell r="CB127"/>
          <cell r="CC127"/>
          <cell r="CD127"/>
          <cell r="CE127"/>
          <cell r="CF127"/>
          <cell r="CG127"/>
          <cell r="CH127"/>
          <cell r="CI127"/>
          <cell r="CJ127"/>
          <cell r="CK127"/>
        </row>
        <row r="128">
          <cell r="C128">
            <v>2584</v>
          </cell>
          <cell r="D128" t="str">
            <v>MB227636A</v>
          </cell>
          <cell r="E128" t="str">
            <v xml:space="preserve"> SASH,F/DR WDO RH</v>
          </cell>
          <cell r="G128">
            <v>1</v>
          </cell>
          <cell r="AZ128" t="str">
            <v>B</v>
          </cell>
          <cell r="BA128" t="str">
            <v>동원금속</v>
          </cell>
          <cell r="BB128" t="str">
            <v>H50B31K</v>
          </cell>
          <cell r="BD128" t="str">
            <v>L735</v>
          </cell>
          <cell r="BE128" t="str">
            <v>ALL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/>
          <cell r="BN128"/>
          <cell r="BO128"/>
          <cell r="BP128"/>
          <cell r="BQ128"/>
          <cell r="BR128"/>
          <cell r="BS128"/>
          <cell r="BT128"/>
          <cell r="BU128"/>
          <cell r="BV128"/>
          <cell r="BW128"/>
          <cell r="BX128"/>
          <cell r="BY128"/>
          <cell r="BZ128"/>
          <cell r="CA128"/>
          <cell r="CB128"/>
          <cell r="CC128"/>
          <cell r="CD128"/>
          <cell r="CE128"/>
          <cell r="CF128"/>
          <cell r="CG128"/>
          <cell r="CH128"/>
          <cell r="CI128"/>
          <cell r="CJ128"/>
          <cell r="CK128"/>
        </row>
        <row r="129">
          <cell r="C129">
            <v>2584</v>
          </cell>
          <cell r="D129" t="str">
            <v>MB250361</v>
          </cell>
          <cell r="E129" t="str">
            <v xml:space="preserve"> CHANNEL DRIP FR LH</v>
          </cell>
          <cell r="G129">
            <v>1</v>
          </cell>
          <cell r="AZ129" t="str">
            <v>B</v>
          </cell>
          <cell r="BA129" t="str">
            <v>동원금속</v>
          </cell>
          <cell r="BB129" t="str">
            <v>H50A16K</v>
          </cell>
          <cell r="BD129" t="str">
            <v>L735</v>
          </cell>
          <cell r="BE129" t="str">
            <v>ALL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/>
          <cell r="BN129"/>
          <cell r="BO129"/>
          <cell r="BP129"/>
          <cell r="BQ129"/>
          <cell r="BR129"/>
          <cell r="BS129"/>
          <cell r="BT129"/>
          <cell r="BU129"/>
          <cell r="BV129"/>
          <cell r="BW129"/>
          <cell r="BX129"/>
          <cell r="BY129"/>
          <cell r="BZ129"/>
          <cell r="CA129"/>
          <cell r="CB129"/>
          <cell r="CC129"/>
          <cell r="CD129"/>
          <cell r="CE129"/>
          <cell r="CF129"/>
          <cell r="CG129"/>
          <cell r="CH129"/>
          <cell r="CI129"/>
          <cell r="CJ129"/>
          <cell r="CK129"/>
        </row>
        <row r="130">
          <cell r="C130">
            <v>2584</v>
          </cell>
          <cell r="D130" t="str">
            <v>MB250362</v>
          </cell>
          <cell r="E130" t="str">
            <v xml:space="preserve"> CHANNEL DRIP FR RH</v>
          </cell>
          <cell r="G130">
            <v>1</v>
          </cell>
          <cell r="AZ130" t="str">
            <v>B</v>
          </cell>
          <cell r="BA130" t="str">
            <v>동원금속</v>
          </cell>
          <cell r="BB130" t="str">
            <v>H50A16K</v>
          </cell>
          <cell r="BD130" t="str">
            <v>L735</v>
          </cell>
          <cell r="BE130" t="str">
            <v>ALL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/>
          <cell r="BN130"/>
          <cell r="BO130"/>
          <cell r="BP130"/>
          <cell r="BQ130"/>
          <cell r="BR130"/>
          <cell r="BS130"/>
          <cell r="BT130"/>
          <cell r="BU130"/>
          <cell r="BV130"/>
          <cell r="BW130"/>
          <cell r="BX130"/>
          <cell r="BY130"/>
          <cell r="BZ130"/>
          <cell r="CA130"/>
          <cell r="CB130"/>
          <cell r="CC130"/>
          <cell r="CD130"/>
          <cell r="CE130"/>
          <cell r="CF130"/>
          <cell r="CG130"/>
          <cell r="CH130"/>
          <cell r="CI130"/>
          <cell r="CJ130"/>
          <cell r="CK130"/>
        </row>
        <row r="131">
          <cell r="C131">
            <v>2584</v>
          </cell>
          <cell r="D131" t="str">
            <v>MB250363</v>
          </cell>
          <cell r="E131" t="str">
            <v xml:space="preserve"> CHANNEL DRIP CTR LH</v>
          </cell>
          <cell r="G131">
            <v>1</v>
          </cell>
          <cell r="AZ131" t="str">
            <v>B</v>
          </cell>
          <cell r="BA131" t="str">
            <v>동원금속</v>
          </cell>
          <cell r="BB131" t="str">
            <v>H50A16K</v>
          </cell>
          <cell r="BD131" t="str">
            <v>L735</v>
          </cell>
          <cell r="BE131" t="str">
            <v>ALL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  <cell r="BM131"/>
          <cell r="BN131"/>
          <cell r="BO131"/>
          <cell r="BP131"/>
          <cell r="BQ131"/>
          <cell r="BR131"/>
          <cell r="BS131"/>
          <cell r="BT131"/>
          <cell r="BU131"/>
          <cell r="BV131"/>
          <cell r="BW131"/>
          <cell r="BX131"/>
          <cell r="BY131"/>
          <cell r="BZ131"/>
          <cell r="CA131"/>
          <cell r="CB131"/>
          <cell r="CC131"/>
          <cell r="CD131"/>
          <cell r="CE131"/>
          <cell r="CF131"/>
          <cell r="CG131"/>
          <cell r="CH131"/>
          <cell r="CI131"/>
          <cell r="CJ131"/>
          <cell r="CK131"/>
        </row>
        <row r="132">
          <cell r="C132">
            <v>2584</v>
          </cell>
          <cell r="D132" t="str">
            <v>MB250364</v>
          </cell>
          <cell r="E132" t="str">
            <v xml:space="preserve"> CHANNEL DRIP CTR RH</v>
          </cell>
          <cell r="G132">
            <v>1</v>
          </cell>
          <cell r="AZ132" t="str">
            <v>B</v>
          </cell>
          <cell r="BA132" t="str">
            <v>동원금속</v>
          </cell>
          <cell r="BB132" t="str">
            <v>H50A16K</v>
          </cell>
          <cell r="BD132" t="str">
            <v>L735</v>
          </cell>
          <cell r="BE132" t="str">
            <v>ALL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/>
          <cell r="BN132"/>
          <cell r="BO132"/>
          <cell r="BP132"/>
          <cell r="BQ132"/>
          <cell r="BR132"/>
          <cell r="BS132"/>
          <cell r="BT132"/>
          <cell r="BU132"/>
          <cell r="BV132"/>
          <cell r="BW132"/>
          <cell r="BX132"/>
          <cell r="BY132"/>
          <cell r="BZ132"/>
          <cell r="CA132"/>
          <cell r="CB132"/>
          <cell r="CC132"/>
          <cell r="CD132"/>
          <cell r="CE132"/>
          <cell r="CF132"/>
          <cell r="CG132"/>
          <cell r="CH132"/>
          <cell r="CI132"/>
          <cell r="CJ132"/>
          <cell r="CK132"/>
        </row>
        <row r="133">
          <cell r="C133">
            <v>1892</v>
          </cell>
          <cell r="D133" t="str">
            <v>MB275075</v>
          </cell>
          <cell r="E133" t="str">
            <v xml:space="preserve"> CHANNEL,DRIP SIDE LH</v>
          </cell>
          <cell r="I133">
            <v>1</v>
          </cell>
          <cell r="J133">
            <v>1</v>
          </cell>
          <cell r="K133">
            <v>1</v>
          </cell>
          <cell r="O133">
            <v>1</v>
          </cell>
          <cell r="Q133">
            <v>1</v>
          </cell>
          <cell r="S133">
            <v>1</v>
          </cell>
          <cell r="T133">
            <v>1</v>
          </cell>
          <cell r="V133">
            <v>1</v>
          </cell>
          <cell r="X133">
            <v>1</v>
          </cell>
          <cell r="Y133">
            <v>1</v>
          </cell>
          <cell r="Z133">
            <v>1</v>
          </cell>
          <cell r="AA133">
            <v>1</v>
          </cell>
          <cell r="AE133">
            <v>1</v>
          </cell>
          <cell r="AG133">
            <v>1</v>
          </cell>
          <cell r="AI133">
            <v>1</v>
          </cell>
          <cell r="AJ133">
            <v>1</v>
          </cell>
          <cell r="AK133">
            <v>1</v>
          </cell>
          <cell r="AQ133">
            <v>1</v>
          </cell>
          <cell r="AR133">
            <v>1</v>
          </cell>
          <cell r="AS133">
            <v>1</v>
          </cell>
          <cell r="AT133">
            <v>1</v>
          </cell>
          <cell r="AU133">
            <v>1</v>
          </cell>
          <cell r="AV133">
            <v>1</v>
          </cell>
          <cell r="AX133">
            <v>1</v>
          </cell>
          <cell r="AY133">
            <v>1</v>
          </cell>
          <cell r="AZ133" t="str">
            <v>B</v>
          </cell>
          <cell r="BA133" t="str">
            <v>동원금속</v>
          </cell>
          <cell r="BB133" t="str">
            <v>H50A17K</v>
          </cell>
          <cell r="BD133" t="str">
            <v>L735</v>
          </cell>
          <cell r="BI133">
            <v>888</v>
          </cell>
          <cell r="BJ133">
            <v>458</v>
          </cell>
          <cell r="BK133">
            <v>90</v>
          </cell>
          <cell r="BL133">
            <v>100</v>
          </cell>
          <cell r="BM133"/>
          <cell r="BN133"/>
          <cell r="BO133"/>
          <cell r="BP133"/>
          <cell r="BQ133"/>
          <cell r="BR133"/>
          <cell r="BS133"/>
          <cell r="BT133"/>
          <cell r="BU133"/>
          <cell r="BV133"/>
          <cell r="BW133"/>
          <cell r="BX133"/>
          <cell r="BY133"/>
          <cell r="BZ133"/>
          <cell r="CA133"/>
          <cell r="CB133"/>
          <cell r="CC133"/>
          <cell r="CD133"/>
          <cell r="CE133"/>
          <cell r="CF133"/>
          <cell r="CG133"/>
          <cell r="CH133"/>
          <cell r="CI133"/>
          <cell r="CJ133"/>
          <cell r="CK133"/>
          <cell r="CL133"/>
          <cell r="CM133"/>
          <cell r="CN133"/>
          <cell r="CO133"/>
          <cell r="CP133"/>
          <cell r="CQ133"/>
        </row>
        <row r="134">
          <cell r="C134">
            <v>1892</v>
          </cell>
          <cell r="D134" t="str">
            <v>MB275076</v>
          </cell>
          <cell r="E134" t="str">
            <v xml:space="preserve"> CHANNEL,DRIP SIDE RH</v>
          </cell>
          <cell r="I134">
            <v>1</v>
          </cell>
          <cell r="J134">
            <v>1</v>
          </cell>
          <cell r="K134">
            <v>1</v>
          </cell>
          <cell r="O134">
            <v>1</v>
          </cell>
          <cell r="Q134">
            <v>1</v>
          </cell>
          <cell r="S134">
            <v>1</v>
          </cell>
          <cell r="T134">
            <v>1</v>
          </cell>
          <cell r="V134">
            <v>1</v>
          </cell>
          <cell r="X134">
            <v>1</v>
          </cell>
          <cell r="Y134">
            <v>1</v>
          </cell>
          <cell r="Z134">
            <v>1</v>
          </cell>
          <cell r="AA134">
            <v>1</v>
          </cell>
          <cell r="AE134">
            <v>1</v>
          </cell>
          <cell r="AG134">
            <v>1</v>
          </cell>
          <cell r="AI134">
            <v>1</v>
          </cell>
          <cell r="AJ134">
            <v>1</v>
          </cell>
          <cell r="AK134">
            <v>1</v>
          </cell>
          <cell r="AQ134">
            <v>1</v>
          </cell>
          <cell r="AR134">
            <v>1</v>
          </cell>
          <cell r="AS134">
            <v>1</v>
          </cell>
          <cell r="AT134">
            <v>1</v>
          </cell>
          <cell r="AU134">
            <v>1</v>
          </cell>
          <cell r="AV134">
            <v>1</v>
          </cell>
          <cell r="AX134">
            <v>1</v>
          </cell>
          <cell r="AY134">
            <v>1</v>
          </cell>
          <cell r="AZ134" t="str">
            <v>B</v>
          </cell>
          <cell r="BA134" t="str">
            <v>동원금속</v>
          </cell>
          <cell r="BB134" t="str">
            <v>H50A17K</v>
          </cell>
          <cell r="BD134" t="str">
            <v>L735</v>
          </cell>
          <cell r="BI134">
            <v>888</v>
          </cell>
          <cell r="BJ134">
            <v>458</v>
          </cell>
          <cell r="BK134">
            <v>90</v>
          </cell>
          <cell r="BL134">
            <v>100</v>
          </cell>
          <cell r="BM134"/>
          <cell r="BN134"/>
          <cell r="BO134"/>
          <cell r="BP134"/>
          <cell r="BQ134"/>
          <cell r="BR134"/>
          <cell r="BS134"/>
          <cell r="BT134"/>
          <cell r="BU134"/>
          <cell r="BV134"/>
          <cell r="BW134"/>
          <cell r="BX134"/>
          <cell r="BY134"/>
          <cell r="BZ134"/>
          <cell r="CA134"/>
          <cell r="CB134"/>
          <cell r="CC134"/>
          <cell r="CD134"/>
          <cell r="CE134"/>
          <cell r="CF134"/>
          <cell r="CG134"/>
          <cell r="CH134"/>
          <cell r="CI134"/>
          <cell r="CJ134"/>
          <cell r="CK134"/>
          <cell r="CL134"/>
          <cell r="CM134"/>
          <cell r="CN134"/>
          <cell r="CO134"/>
          <cell r="CP134"/>
          <cell r="CQ134"/>
        </row>
        <row r="135">
          <cell r="C135">
            <v>692</v>
          </cell>
          <cell r="D135" t="str">
            <v>MB275273</v>
          </cell>
          <cell r="E135" t="str">
            <v xml:space="preserve"> CHANNEL,DRIP SIDE LH</v>
          </cell>
          <cell r="H135">
            <v>1</v>
          </cell>
          <cell r="L135">
            <v>1</v>
          </cell>
          <cell r="M135">
            <v>1</v>
          </cell>
          <cell r="N135">
            <v>1</v>
          </cell>
          <cell r="P135">
            <v>1</v>
          </cell>
          <cell r="R135">
            <v>1</v>
          </cell>
          <cell r="U135">
            <v>1</v>
          </cell>
          <cell r="W135">
            <v>1</v>
          </cell>
          <cell r="AB135">
            <v>1</v>
          </cell>
          <cell r="AC135">
            <v>1</v>
          </cell>
          <cell r="AD135">
            <v>1</v>
          </cell>
          <cell r="AF135">
            <v>1</v>
          </cell>
          <cell r="AG135"/>
          <cell r="AH135">
            <v>1</v>
          </cell>
          <cell r="AI135"/>
          <cell r="AJ135"/>
          <cell r="AK135"/>
          <cell r="AL135">
            <v>1</v>
          </cell>
          <cell r="AM135">
            <v>1</v>
          </cell>
          <cell r="AN135">
            <v>1</v>
          </cell>
          <cell r="AO135">
            <v>1</v>
          </cell>
          <cell r="AP135">
            <v>1</v>
          </cell>
          <cell r="AQ135"/>
          <cell r="AR135"/>
          <cell r="AS135"/>
          <cell r="AT135"/>
          <cell r="AU135"/>
          <cell r="AV135"/>
          <cell r="AW135">
            <v>1</v>
          </cell>
          <cell r="AX135"/>
          <cell r="AY135"/>
          <cell r="AZ135" t="str">
            <v>B</v>
          </cell>
          <cell r="BA135" t="str">
            <v>동원금속</v>
          </cell>
          <cell r="BB135" t="str">
            <v>H50A17K</v>
          </cell>
          <cell r="BC135"/>
          <cell r="BD135" t="str">
            <v>L735</v>
          </cell>
          <cell r="BE135" t="str">
            <v>S/B</v>
          </cell>
          <cell r="BF135"/>
          <cell r="BG135"/>
          <cell r="BH135"/>
          <cell r="BI135">
            <v>49</v>
          </cell>
          <cell r="BJ135">
            <v>539</v>
          </cell>
          <cell r="BK135">
            <v>28</v>
          </cell>
          <cell r="BL135">
            <v>2</v>
          </cell>
          <cell r="BM135"/>
          <cell r="BN135"/>
          <cell r="BO135"/>
          <cell r="BP135"/>
          <cell r="BQ135"/>
          <cell r="BR135"/>
          <cell r="BS135"/>
          <cell r="BT135"/>
          <cell r="BU135"/>
          <cell r="BV135"/>
          <cell r="BW135"/>
          <cell r="BX135"/>
          <cell r="BY135"/>
          <cell r="BZ135"/>
          <cell r="CA135"/>
          <cell r="CB135"/>
          <cell r="CC135"/>
          <cell r="CD135"/>
          <cell r="CE135"/>
          <cell r="CF135"/>
          <cell r="CG135"/>
          <cell r="CH135"/>
          <cell r="CI135"/>
          <cell r="CJ135"/>
          <cell r="CK135"/>
          <cell r="CL135"/>
          <cell r="CM135"/>
          <cell r="CN135"/>
          <cell r="CO135"/>
          <cell r="CP135"/>
        </row>
        <row r="136">
          <cell r="C136">
            <v>692</v>
          </cell>
          <cell r="D136" t="str">
            <v>MB275274</v>
          </cell>
          <cell r="E136" t="str">
            <v xml:space="preserve"> CHANNEL,DRIP SIDE RH</v>
          </cell>
          <cell r="H136">
            <v>1</v>
          </cell>
          <cell r="L136">
            <v>1</v>
          </cell>
          <cell r="M136">
            <v>1</v>
          </cell>
          <cell r="N136">
            <v>1</v>
          </cell>
          <cell r="P136">
            <v>1</v>
          </cell>
          <cell r="R136">
            <v>1</v>
          </cell>
          <cell r="U136">
            <v>1</v>
          </cell>
          <cell r="W136">
            <v>1</v>
          </cell>
          <cell r="AB136">
            <v>1</v>
          </cell>
          <cell r="AC136">
            <v>1</v>
          </cell>
          <cell r="AD136">
            <v>1</v>
          </cell>
          <cell r="AF136">
            <v>1</v>
          </cell>
          <cell r="AG136"/>
          <cell r="AH136">
            <v>1</v>
          </cell>
          <cell r="AI136"/>
          <cell r="AJ136"/>
          <cell r="AK136"/>
          <cell r="AL136">
            <v>1</v>
          </cell>
          <cell r="AM136">
            <v>1</v>
          </cell>
          <cell r="AN136">
            <v>1</v>
          </cell>
          <cell r="AO136">
            <v>1</v>
          </cell>
          <cell r="AP136">
            <v>1</v>
          </cell>
          <cell r="AQ136"/>
          <cell r="AR136"/>
          <cell r="AS136"/>
          <cell r="AT136"/>
          <cell r="AU136"/>
          <cell r="AV136"/>
          <cell r="AW136">
            <v>1</v>
          </cell>
          <cell r="AX136"/>
          <cell r="AY136"/>
          <cell r="AZ136" t="str">
            <v>B</v>
          </cell>
          <cell r="BA136" t="str">
            <v>동원금속</v>
          </cell>
          <cell r="BB136" t="str">
            <v>H50A17K</v>
          </cell>
          <cell r="BC136"/>
          <cell r="BD136" t="str">
            <v>L735</v>
          </cell>
          <cell r="BE136" t="str">
            <v>S/B</v>
          </cell>
          <cell r="BF136"/>
          <cell r="BG136"/>
          <cell r="BH136"/>
          <cell r="BI136">
            <v>49</v>
          </cell>
          <cell r="BJ136">
            <v>539</v>
          </cell>
          <cell r="BK136">
            <v>28</v>
          </cell>
          <cell r="BL136">
            <v>2</v>
          </cell>
          <cell r="BM136"/>
          <cell r="BN136"/>
          <cell r="BO136"/>
          <cell r="BP136"/>
          <cell r="BQ136"/>
          <cell r="BR136"/>
          <cell r="BS136"/>
          <cell r="BT136"/>
          <cell r="BU136"/>
          <cell r="BV136"/>
          <cell r="BW136"/>
          <cell r="BX136"/>
          <cell r="BY136"/>
          <cell r="BZ136"/>
          <cell r="CA136"/>
          <cell r="CB136"/>
          <cell r="CC136"/>
          <cell r="CD136"/>
          <cell r="CE136"/>
          <cell r="CF136"/>
          <cell r="CG136"/>
          <cell r="CH136"/>
          <cell r="CI136"/>
          <cell r="CJ136"/>
          <cell r="CK136"/>
          <cell r="CL136"/>
          <cell r="CM136"/>
          <cell r="CN136"/>
          <cell r="CO136"/>
          <cell r="CP136"/>
        </row>
        <row r="137">
          <cell r="C137">
            <v>1892</v>
          </cell>
          <cell r="D137" t="str">
            <v>MB275275</v>
          </cell>
          <cell r="E137" t="str">
            <v xml:space="preserve"> CHANNEL,DRIP,QTR LH</v>
          </cell>
          <cell r="I137">
            <v>1</v>
          </cell>
          <cell r="J137">
            <v>1</v>
          </cell>
          <cell r="K137">
            <v>1</v>
          </cell>
          <cell r="O137">
            <v>1</v>
          </cell>
          <cell r="Q137">
            <v>1</v>
          </cell>
          <cell r="S137">
            <v>1</v>
          </cell>
          <cell r="T137">
            <v>1</v>
          </cell>
          <cell r="V137">
            <v>1</v>
          </cell>
          <cell r="X137">
            <v>1</v>
          </cell>
          <cell r="Y137">
            <v>1</v>
          </cell>
          <cell r="Z137">
            <v>1</v>
          </cell>
          <cell r="AA137">
            <v>1</v>
          </cell>
          <cell r="AE137">
            <v>1</v>
          </cell>
          <cell r="AG137">
            <v>1</v>
          </cell>
          <cell r="AI137">
            <v>1</v>
          </cell>
          <cell r="AJ137">
            <v>1</v>
          </cell>
          <cell r="AK137">
            <v>1</v>
          </cell>
          <cell r="AQ137">
            <v>1</v>
          </cell>
          <cell r="AR137">
            <v>1</v>
          </cell>
          <cell r="AS137">
            <v>1</v>
          </cell>
          <cell r="AT137">
            <v>1</v>
          </cell>
          <cell r="AU137">
            <v>1</v>
          </cell>
          <cell r="AV137">
            <v>1</v>
          </cell>
          <cell r="AX137">
            <v>1</v>
          </cell>
          <cell r="AY137">
            <v>1</v>
          </cell>
          <cell r="AZ137" t="str">
            <v>B</v>
          </cell>
          <cell r="BA137" t="str">
            <v>동원금속</v>
          </cell>
          <cell r="BB137" t="str">
            <v>H50A17K</v>
          </cell>
          <cell r="BD137" t="str">
            <v>L735</v>
          </cell>
          <cell r="BI137">
            <v>888</v>
          </cell>
          <cell r="BJ137">
            <v>458</v>
          </cell>
          <cell r="BK137">
            <v>90</v>
          </cell>
          <cell r="BL137">
            <v>100</v>
          </cell>
          <cell r="BM137"/>
          <cell r="BN137"/>
          <cell r="BO137"/>
          <cell r="BP137"/>
          <cell r="BQ137"/>
          <cell r="BR137"/>
          <cell r="BS137"/>
          <cell r="BT137"/>
          <cell r="BU137"/>
          <cell r="BV137"/>
          <cell r="BW137"/>
          <cell r="BX137"/>
          <cell r="BY137"/>
          <cell r="BZ137"/>
          <cell r="CA137"/>
          <cell r="CB137"/>
          <cell r="CC137"/>
          <cell r="CD137"/>
          <cell r="CE137"/>
          <cell r="CF137"/>
          <cell r="CG137"/>
          <cell r="CH137"/>
          <cell r="CI137"/>
          <cell r="CJ137"/>
          <cell r="CK137"/>
          <cell r="CL137"/>
          <cell r="CM137"/>
          <cell r="CN137"/>
          <cell r="CO137"/>
          <cell r="CP137"/>
          <cell r="CQ137"/>
        </row>
        <row r="138">
          <cell r="C138">
            <v>1892</v>
          </cell>
          <cell r="D138" t="str">
            <v>MB275276</v>
          </cell>
          <cell r="E138" t="str">
            <v xml:space="preserve"> CHANNEL,DRIP,QTR RH</v>
          </cell>
          <cell r="I138">
            <v>1</v>
          </cell>
          <cell r="J138">
            <v>1</v>
          </cell>
          <cell r="K138">
            <v>1</v>
          </cell>
          <cell r="O138">
            <v>1</v>
          </cell>
          <cell r="Q138">
            <v>1</v>
          </cell>
          <cell r="S138">
            <v>1</v>
          </cell>
          <cell r="T138">
            <v>1</v>
          </cell>
          <cell r="V138">
            <v>1</v>
          </cell>
          <cell r="X138">
            <v>1</v>
          </cell>
          <cell r="Y138">
            <v>1</v>
          </cell>
          <cell r="Z138">
            <v>1</v>
          </cell>
          <cell r="AA138">
            <v>1</v>
          </cell>
          <cell r="AE138">
            <v>1</v>
          </cell>
          <cell r="AG138">
            <v>1</v>
          </cell>
          <cell r="AI138">
            <v>1</v>
          </cell>
          <cell r="AJ138">
            <v>1</v>
          </cell>
          <cell r="AK138">
            <v>1</v>
          </cell>
          <cell r="AQ138">
            <v>1</v>
          </cell>
          <cell r="AR138">
            <v>1</v>
          </cell>
          <cell r="AS138">
            <v>1</v>
          </cell>
          <cell r="AT138">
            <v>1</v>
          </cell>
          <cell r="AU138">
            <v>1</v>
          </cell>
          <cell r="AV138">
            <v>1</v>
          </cell>
          <cell r="AX138">
            <v>1</v>
          </cell>
          <cell r="AY138">
            <v>1</v>
          </cell>
          <cell r="AZ138" t="str">
            <v>B</v>
          </cell>
          <cell r="BA138" t="str">
            <v>동원금속</v>
          </cell>
          <cell r="BB138" t="str">
            <v>H50A17K</v>
          </cell>
          <cell r="BD138" t="str">
            <v>L735</v>
          </cell>
          <cell r="BI138">
            <v>888</v>
          </cell>
          <cell r="BJ138">
            <v>458</v>
          </cell>
          <cell r="BK138">
            <v>90</v>
          </cell>
          <cell r="BL138">
            <v>100</v>
          </cell>
          <cell r="BM138"/>
          <cell r="BN138"/>
          <cell r="BO138"/>
          <cell r="BP138"/>
          <cell r="BQ138"/>
          <cell r="BR138"/>
          <cell r="BS138"/>
          <cell r="BT138"/>
          <cell r="BU138"/>
          <cell r="BV138"/>
          <cell r="BW138"/>
          <cell r="BX138"/>
          <cell r="BY138"/>
          <cell r="BZ138"/>
          <cell r="CA138"/>
          <cell r="CB138"/>
          <cell r="CC138"/>
          <cell r="CD138"/>
          <cell r="CE138"/>
          <cell r="CF138"/>
          <cell r="CG138"/>
          <cell r="CH138"/>
          <cell r="CI138"/>
          <cell r="CJ138"/>
          <cell r="CK138"/>
          <cell r="CL138"/>
          <cell r="CM138"/>
          <cell r="CN138"/>
          <cell r="CO138"/>
          <cell r="CP138"/>
          <cell r="CQ138"/>
        </row>
        <row r="139">
          <cell r="C139">
            <v>2584</v>
          </cell>
          <cell r="D139" t="str">
            <v>MB275277</v>
          </cell>
          <cell r="E139" t="str">
            <v xml:space="preserve"> CHANNEL,DRIP CORNER LH</v>
          </cell>
          <cell r="G139">
            <v>1</v>
          </cell>
          <cell r="AZ139" t="str">
            <v>B</v>
          </cell>
          <cell r="BA139" t="str">
            <v>동원금속</v>
          </cell>
          <cell r="BB139" t="str">
            <v>H50A17K</v>
          </cell>
          <cell r="BD139" t="str">
            <v>L735</v>
          </cell>
          <cell r="BE139" t="str">
            <v>ALL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/>
          <cell r="BN139"/>
          <cell r="BO139"/>
          <cell r="BP139"/>
          <cell r="BQ139"/>
          <cell r="BR139"/>
          <cell r="BS139"/>
          <cell r="BT139"/>
          <cell r="BU139"/>
          <cell r="BV139"/>
          <cell r="BW139"/>
          <cell r="BX139"/>
          <cell r="BY139"/>
          <cell r="BZ139"/>
          <cell r="CA139"/>
          <cell r="CB139"/>
          <cell r="CC139"/>
          <cell r="CD139"/>
          <cell r="CE139"/>
          <cell r="CF139"/>
          <cell r="CG139"/>
          <cell r="CH139"/>
          <cell r="CI139"/>
          <cell r="CJ139"/>
          <cell r="CK139"/>
        </row>
        <row r="140">
          <cell r="C140">
            <v>2584</v>
          </cell>
          <cell r="D140" t="str">
            <v>MB275278</v>
          </cell>
          <cell r="E140" t="str">
            <v xml:space="preserve"> CHANNEL,DRIP CORNER RH</v>
          </cell>
          <cell r="G140">
            <v>1</v>
          </cell>
          <cell r="AZ140" t="str">
            <v>B</v>
          </cell>
          <cell r="BA140" t="str">
            <v>동원금속</v>
          </cell>
          <cell r="BB140" t="str">
            <v>H50A17K</v>
          </cell>
          <cell r="BD140" t="str">
            <v>L735</v>
          </cell>
          <cell r="BE140" t="str">
            <v>ALL</v>
          </cell>
          <cell r="BI140">
            <v>0</v>
          </cell>
          <cell r="BJ140">
            <v>0</v>
          </cell>
          <cell r="BK140">
            <v>0</v>
          </cell>
          <cell r="BL140">
            <v>0</v>
          </cell>
          <cell r="BM140"/>
          <cell r="BN140"/>
          <cell r="BO140"/>
          <cell r="BP140"/>
          <cell r="BQ140"/>
          <cell r="BR140"/>
          <cell r="BS140"/>
          <cell r="BT140"/>
          <cell r="BU140"/>
          <cell r="BV140"/>
          <cell r="BW140"/>
          <cell r="BX140"/>
          <cell r="BY140"/>
          <cell r="BZ140"/>
          <cell r="CA140"/>
          <cell r="CB140"/>
          <cell r="CC140"/>
          <cell r="CD140"/>
          <cell r="CE140"/>
          <cell r="CF140"/>
          <cell r="CG140"/>
          <cell r="CH140"/>
          <cell r="CI140"/>
          <cell r="CJ140"/>
          <cell r="CK140"/>
        </row>
        <row r="141">
          <cell r="C141" t="str">
            <v>☆</v>
          </cell>
          <cell r="D141" t="str">
            <v>MB275279</v>
          </cell>
          <cell r="E141" t="str">
            <v xml:space="preserve"> CHANNEL -DRIP.RR</v>
          </cell>
          <cell r="F141" t="str">
            <v>유상 사급</v>
          </cell>
          <cell r="AZ141" t="str">
            <v>B</v>
          </cell>
          <cell r="BA141" t="str">
            <v>동원금속</v>
          </cell>
        </row>
        <row r="142">
          <cell r="C142">
            <v>3784</v>
          </cell>
          <cell r="D142" t="str">
            <v>MB275311A</v>
          </cell>
          <cell r="E142" t="str">
            <v xml:space="preserve"> CONNECTOR,CHANNEL DRIP</v>
          </cell>
          <cell r="I142">
            <v>2</v>
          </cell>
          <cell r="J142">
            <v>2</v>
          </cell>
          <cell r="K142">
            <v>2</v>
          </cell>
          <cell r="O142">
            <v>2</v>
          </cell>
          <cell r="Q142">
            <v>2</v>
          </cell>
          <cell r="S142">
            <v>2</v>
          </cell>
          <cell r="T142">
            <v>2</v>
          </cell>
          <cell r="V142">
            <v>2</v>
          </cell>
          <cell r="X142">
            <v>2</v>
          </cell>
          <cell r="Y142">
            <v>2</v>
          </cell>
          <cell r="Z142">
            <v>2</v>
          </cell>
          <cell r="AA142">
            <v>2</v>
          </cell>
          <cell r="AE142">
            <v>2</v>
          </cell>
          <cell r="AG142">
            <v>2</v>
          </cell>
          <cell r="AI142">
            <v>2</v>
          </cell>
          <cell r="AJ142">
            <v>2</v>
          </cell>
          <cell r="AK142">
            <v>2</v>
          </cell>
          <cell r="AQ142">
            <v>2</v>
          </cell>
          <cell r="AR142">
            <v>2</v>
          </cell>
          <cell r="AS142">
            <v>2</v>
          </cell>
          <cell r="AT142">
            <v>2</v>
          </cell>
          <cell r="AU142">
            <v>2</v>
          </cell>
          <cell r="AV142">
            <v>2</v>
          </cell>
          <cell r="AX142">
            <v>2</v>
          </cell>
          <cell r="AY142">
            <v>2</v>
          </cell>
          <cell r="AZ142" t="str">
            <v>B</v>
          </cell>
          <cell r="BA142" t="str">
            <v>동원금속</v>
          </cell>
          <cell r="BB142" t="str">
            <v>H50A17K</v>
          </cell>
          <cell r="BD142" t="str">
            <v>L735</v>
          </cell>
          <cell r="BI142">
            <v>1776</v>
          </cell>
          <cell r="BJ142">
            <v>916</v>
          </cell>
          <cell r="BK142">
            <v>180</v>
          </cell>
          <cell r="BL142">
            <v>200</v>
          </cell>
          <cell r="BM142"/>
          <cell r="BN142"/>
          <cell r="BO142"/>
          <cell r="BP142"/>
          <cell r="BQ142"/>
          <cell r="BR142"/>
          <cell r="BS142"/>
          <cell r="BT142"/>
          <cell r="BU142"/>
          <cell r="BV142"/>
          <cell r="BW142"/>
          <cell r="BX142"/>
          <cell r="BY142"/>
          <cell r="BZ142"/>
          <cell r="CA142"/>
          <cell r="CB142"/>
          <cell r="CC142"/>
          <cell r="CD142"/>
          <cell r="CE142"/>
          <cell r="CF142"/>
          <cell r="CG142"/>
          <cell r="CH142"/>
          <cell r="CI142"/>
          <cell r="CJ142"/>
          <cell r="CK142"/>
          <cell r="CL142"/>
          <cell r="CM142"/>
          <cell r="CN142"/>
          <cell r="CO142"/>
          <cell r="CP142"/>
          <cell r="CQ142"/>
        </row>
        <row r="143">
          <cell r="C143">
            <v>10336</v>
          </cell>
          <cell r="D143" t="str">
            <v>MB275311A</v>
          </cell>
          <cell r="E143" t="str">
            <v xml:space="preserve"> CONNECTOR,CHANNEL DRIP</v>
          </cell>
          <cell r="G143">
            <v>4</v>
          </cell>
          <cell r="AZ143" t="str">
            <v>B</v>
          </cell>
          <cell r="BA143" t="str">
            <v>동원금속</v>
          </cell>
          <cell r="BB143" t="str">
            <v>H50A16K</v>
          </cell>
          <cell r="BD143" t="str">
            <v>L735</v>
          </cell>
          <cell r="BE143" t="str">
            <v>ALL</v>
          </cell>
          <cell r="BI143">
            <v>0</v>
          </cell>
          <cell r="BJ143">
            <v>0</v>
          </cell>
          <cell r="BK143">
            <v>0</v>
          </cell>
          <cell r="BL143">
            <v>0</v>
          </cell>
          <cell r="BM143"/>
          <cell r="BN143"/>
          <cell r="BO143"/>
          <cell r="BP143"/>
          <cell r="BQ143"/>
          <cell r="BR143"/>
          <cell r="BS143"/>
          <cell r="BT143"/>
          <cell r="BU143"/>
          <cell r="BV143"/>
          <cell r="BW143"/>
          <cell r="BX143"/>
          <cell r="BY143"/>
          <cell r="BZ143"/>
          <cell r="CA143"/>
          <cell r="CB143"/>
          <cell r="CC143"/>
          <cell r="CD143"/>
          <cell r="CE143"/>
          <cell r="CF143"/>
          <cell r="CG143"/>
          <cell r="CH143"/>
          <cell r="CI143"/>
          <cell r="CJ143"/>
          <cell r="CK143"/>
        </row>
        <row r="144">
          <cell r="C144">
            <v>1892</v>
          </cell>
          <cell r="D144" t="str">
            <v>MB320017</v>
          </cell>
          <cell r="E144" t="str">
            <v xml:space="preserve"> SASH,R/DR WDO LH</v>
          </cell>
          <cell r="I144">
            <v>1</v>
          </cell>
          <cell r="J144">
            <v>1</v>
          </cell>
          <cell r="K144">
            <v>1</v>
          </cell>
          <cell r="O144">
            <v>1</v>
          </cell>
          <cell r="Q144">
            <v>1</v>
          </cell>
          <cell r="S144">
            <v>1</v>
          </cell>
          <cell r="T144">
            <v>1</v>
          </cell>
          <cell r="V144">
            <v>1</v>
          </cell>
          <cell r="X144">
            <v>1</v>
          </cell>
          <cell r="Y144">
            <v>1</v>
          </cell>
          <cell r="Z144">
            <v>1</v>
          </cell>
          <cell r="AA144">
            <v>1</v>
          </cell>
          <cell r="AE144">
            <v>1</v>
          </cell>
          <cell r="AG144">
            <v>1</v>
          </cell>
          <cell r="AI144">
            <v>1</v>
          </cell>
          <cell r="AJ144">
            <v>1</v>
          </cell>
          <cell r="AK144">
            <v>1</v>
          </cell>
          <cell r="AQ144">
            <v>1</v>
          </cell>
          <cell r="AR144">
            <v>1</v>
          </cell>
          <cell r="AS144">
            <v>1</v>
          </cell>
          <cell r="AT144">
            <v>1</v>
          </cell>
          <cell r="AU144">
            <v>1</v>
          </cell>
          <cell r="AV144">
            <v>1</v>
          </cell>
          <cell r="AX144">
            <v>1</v>
          </cell>
          <cell r="AY144">
            <v>1</v>
          </cell>
          <cell r="AZ144" t="str">
            <v>B</v>
          </cell>
          <cell r="BA144" t="str">
            <v>동원금속</v>
          </cell>
          <cell r="BB144" t="str">
            <v>H50B32K</v>
          </cell>
          <cell r="BD144" t="str">
            <v>L735</v>
          </cell>
          <cell r="BI144">
            <v>888</v>
          </cell>
          <cell r="BJ144">
            <v>458</v>
          </cell>
          <cell r="BK144">
            <v>90</v>
          </cell>
          <cell r="BL144">
            <v>100</v>
          </cell>
          <cell r="BM144"/>
          <cell r="BN144"/>
          <cell r="BO144"/>
          <cell r="BP144"/>
          <cell r="BQ144"/>
          <cell r="BR144"/>
          <cell r="BS144"/>
          <cell r="BT144"/>
          <cell r="BU144"/>
          <cell r="BV144"/>
          <cell r="BW144"/>
          <cell r="BX144"/>
          <cell r="BY144"/>
          <cell r="BZ144"/>
          <cell r="CA144"/>
          <cell r="CB144"/>
          <cell r="CC144"/>
          <cell r="CD144"/>
          <cell r="CE144"/>
          <cell r="CF144"/>
          <cell r="CG144"/>
          <cell r="CH144"/>
          <cell r="CI144"/>
          <cell r="CJ144"/>
          <cell r="CK144"/>
          <cell r="CL144"/>
          <cell r="CM144"/>
          <cell r="CN144"/>
          <cell r="CO144"/>
          <cell r="CP144"/>
          <cell r="CQ144"/>
        </row>
        <row r="145">
          <cell r="C145">
            <v>1892</v>
          </cell>
          <cell r="D145" t="str">
            <v>MB320018</v>
          </cell>
          <cell r="E145" t="str">
            <v xml:space="preserve"> SASH R/DR WDO RH</v>
          </cell>
          <cell r="I145">
            <v>1</v>
          </cell>
          <cell r="J145">
            <v>1</v>
          </cell>
          <cell r="K145">
            <v>1</v>
          </cell>
          <cell r="O145">
            <v>1</v>
          </cell>
          <cell r="Q145">
            <v>1</v>
          </cell>
          <cell r="S145">
            <v>1</v>
          </cell>
          <cell r="T145">
            <v>1</v>
          </cell>
          <cell r="V145">
            <v>1</v>
          </cell>
          <cell r="X145">
            <v>1</v>
          </cell>
          <cell r="Y145">
            <v>1</v>
          </cell>
          <cell r="Z145">
            <v>1</v>
          </cell>
          <cell r="AA145">
            <v>1</v>
          </cell>
          <cell r="AE145">
            <v>1</v>
          </cell>
          <cell r="AG145">
            <v>1</v>
          </cell>
          <cell r="AI145">
            <v>1</v>
          </cell>
          <cell r="AJ145">
            <v>1</v>
          </cell>
          <cell r="AK145">
            <v>1</v>
          </cell>
          <cell r="AQ145">
            <v>1</v>
          </cell>
          <cell r="AR145">
            <v>1</v>
          </cell>
          <cell r="AS145">
            <v>1</v>
          </cell>
          <cell r="AT145">
            <v>1</v>
          </cell>
          <cell r="AU145">
            <v>1</v>
          </cell>
          <cell r="AV145">
            <v>1</v>
          </cell>
          <cell r="AX145">
            <v>1</v>
          </cell>
          <cell r="AY145">
            <v>1</v>
          </cell>
          <cell r="AZ145" t="str">
            <v>B</v>
          </cell>
          <cell r="BA145" t="str">
            <v>동원금속</v>
          </cell>
          <cell r="BB145" t="str">
            <v>H50B32K</v>
          </cell>
          <cell r="BD145" t="str">
            <v>L735</v>
          </cell>
          <cell r="BI145">
            <v>888</v>
          </cell>
          <cell r="BJ145">
            <v>458</v>
          </cell>
          <cell r="BK145">
            <v>90</v>
          </cell>
          <cell r="BL145">
            <v>100</v>
          </cell>
          <cell r="BM145"/>
          <cell r="BN145"/>
          <cell r="BO145"/>
          <cell r="BP145"/>
          <cell r="BQ145"/>
          <cell r="BR145"/>
          <cell r="BS145"/>
          <cell r="BT145"/>
          <cell r="BU145"/>
          <cell r="BV145"/>
          <cell r="BW145"/>
          <cell r="BX145"/>
          <cell r="BY145"/>
          <cell r="BZ145"/>
          <cell r="CA145"/>
          <cell r="CB145"/>
          <cell r="CC145"/>
          <cell r="CD145"/>
          <cell r="CE145"/>
          <cell r="CF145"/>
          <cell r="CG145"/>
          <cell r="CH145"/>
          <cell r="CI145"/>
          <cell r="CJ145"/>
          <cell r="CK145"/>
          <cell r="CL145"/>
          <cell r="CM145"/>
          <cell r="CN145"/>
          <cell r="CO145"/>
          <cell r="CP145"/>
          <cell r="CQ145"/>
        </row>
        <row r="146">
          <cell r="C146">
            <v>1437</v>
          </cell>
          <cell r="D146" t="str">
            <v>HQ505446</v>
          </cell>
          <cell r="E146" t="str">
            <v xml:space="preserve"> BRKT-GLOW PLUG</v>
          </cell>
          <cell r="F146" t="str">
            <v>+271A</v>
          </cell>
          <cell r="K146">
            <v>1</v>
          </cell>
          <cell r="L146">
            <v>1</v>
          </cell>
          <cell r="M146">
            <v>1</v>
          </cell>
          <cell r="N146">
            <v>1</v>
          </cell>
          <cell r="O146">
            <v>1</v>
          </cell>
          <cell r="P146">
            <v>1</v>
          </cell>
          <cell r="Q146">
            <v>1</v>
          </cell>
          <cell r="T146">
            <v>1</v>
          </cell>
          <cell r="U146">
            <v>1</v>
          </cell>
          <cell r="V146">
            <v>1</v>
          </cell>
          <cell r="Y146">
            <v>1</v>
          </cell>
          <cell r="Z146">
            <v>1</v>
          </cell>
          <cell r="AA146">
            <v>1</v>
          </cell>
          <cell r="AB146">
            <v>1</v>
          </cell>
          <cell r="AC146">
            <v>1</v>
          </cell>
          <cell r="AD146">
            <v>1</v>
          </cell>
          <cell r="AJ146">
            <v>1</v>
          </cell>
          <cell r="AL146">
            <v>1</v>
          </cell>
          <cell r="AM146">
            <v>1</v>
          </cell>
          <cell r="AO146">
            <v>1</v>
          </cell>
          <cell r="AQ146">
            <v>1</v>
          </cell>
          <cell r="AS146">
            <v>1</v>
          </cell>
          <cell r="AV146">
            <v>1</v>
          </cell>
          <cell r="AZ146" t="str">
            <v>B</v>
          </cell>
          <cell r="BA146" t="str">
            <v>부전</v>
          </cell>
        </row>
        <row r="147">
          <cell r="C147">
            <v>1310</v>
          </cell>
          <cell r="D147" t="str">
            <v>9725531001</v>
          </cell>
          <cell r="E147" t="str">
            <v xml:space="preserve"> KNOB  ( L/B EXD ↑)</v>
          </cell>
          <cell r="F147" t="str">
            <v>+973A,R/H</v>
          </cell>
          <cell r="G147" t="str">
            <v> </v>
          </cell>
          <cell r="H147" t="str">
            <v> </v>
          </cell>
          <cell r="J147">
            <v>1</v>
          </cell>
          <cell r="K147">
            <v>1</v>
          </cell>
          <cell r="O147">
            <v>1</v>
          </cell>
          <cell r="Q147">
            <v>1</v>
          </cell>
          <cell r="X147">
            <v>1</v>
          </cell>
          <cell r="AE147">
            <v>1</v>
          </cell>
          <cell r="AF147" t="str">
            <v> </v>
          </cell>
          <cell r="AG147"/>
          <cell r="AH147"/>
          <cell r="AI147">
            <v>1</v>
          </cell>
          <cell r="AJ147"/>
          <cell r="AK147">
            <v>1</v>
          </cell>
          <cell r="AL147"/>
          <cell r="AM147"/>
          <cell r="AN147"/>
          <cell r="AO147"/>
          <cell r="AP147"/>
          <cell r="AQ147">
            <v>1</v>
          </cell>
          <cell r="AR147"/>
          <cell r="AS147">
            <v>1</v>
          </cell>
          <cell r="AT147">
            <v>1</v>
          </cell>
          <cell r="AU147"/>
          <cell r="AV147"/>
          <cell r="AW147"/>
          <cell r="AX147"/>
          <cell r="AY147"/>
          <cell r="AZ147" t="str">
            <v>T</v>
          </cell>
          <cell r="BA147" t="str">
            <v>부전(주)</v>
          </cell>
          <cell r="BB147" t="str">
            <v>H78A51K</v>
          </cell>
          <cell r="BC147"/>
          <cell r="BD147" t="str">
            <v>K804</v>
          </cell>
          <cell r="BI147" t="e">
            <v>#REF!</v>
          </cell>
          <cell r="BJ147" t="e">
            <v>#REF!</v>
          </cell>
          <cell r="BK147" t="e">
            <v>#REF!</v>
          </cell>
          <cell r="BL147" t="e">
            <v>#REF!</v>
          </cell>
          <cell r="BM147"/>
          <cell r="BN147"/>
          <cell r="BO147"/>
          <cell r="BP147"/>
          <cell r="BQ147"/>
          <cell r="BR147"/>
          <cell r="BS147"/>
          <cell r="BT147"/>
          <cell r="BU147"/>
          <cell r="BV147"/>
          <cell r="BW147"/>
          <cell r="BX147"/>
          <cell r="BY147"/>
          <cell r="BZ147"/>
          <cell r="CA147"/>
          <cell r="CB147"/>
          <cell r="CC147"/>
          <cell r="CD147"/>
          <cell r="CE147"/>
          <cell r="CF147"/>
          <cell r="CG147"/>
          <cell r="CH147"/>
          <cell r="CI147"/>
          <cell r="CJ147"/>
        </row>
        <row r="148">
          <cell r="C148">
            <v>1892</v>
          </cell>
          <cell r="D148" t="str">
            <v>HC000013</v>
          </cell>
          <cell r="E148" t="str">
            <v xml:space="preserve"> BRACKET,JACK</v>
          </cell>
          <cell r="I148">
            <v>1</v>
          </cell>
          <cell r="J148">
            <v>1</v>
          </cell>
          <cell r="K148">
            <v>1</v>
          </cell>
          <cell r="O148">
            <v>1</v>
          </cell>
          <cell r="Q148">
            <v>1</v>
          </cell>
          <cell r="S148">
            <v>1</v>
          </cell>
          <cell r="T148">
            <v>1</v>
          </cell>
          <cell r="V148">
            <v>1</v>
          </cell>
          <cell r="X148">
            <v>1</v>
          </cell>
          <cell r="Y148">
            <v>1</v>
          </cell>
          <cell r="Z148">
            <v>1</v>
          </cell>
          <cell r="AA148">
            <v>1</v>
          </cell>
          <cell r="AE148">
            <v>1</v>
          </cell>
          <cell r="AG148">
            <v>1</v>
          </cell>
          <cell r="AI148">
            <v>1</v>
          </cell>
          <cell r="AJ148">
            <v>1</v>
          </cell>
          <cell r="AK148">
            <v>1</v>
          </cell>
          <cell r="AQ148">
            <v>1</v>
          </cell>
          <cell r="AR148">
            <v>1</v>
          </cell>
          <cell r="AS148">
            <v>1</v>
          </cell>
          <cell r="AT148">
            <v>1</v>
          </cell>
          <cell r="AU148">
            <v>1</v>
          </cell>
          <cell r="AV148">
            <v>1</v>
          </cell>
          <cell r="AX148">
            <v>1</v>
          </cell>
          <cell r="AY148">
            <v>1</v>
          </cell>
          <cell r="AZ148" t="str">
            <v>B</v>
          </cell>
          <cell r="BA148" t="str">
            <v>부전(주)</v>
          </cell>
          <cell r="BB148" t="str">
            <v>H50A11K</v>
          </cell>
          <cell r="BD148" t="str">
            <v>K804</v>
          </cell>
          <cell r="BI148">
            <v>888</v>
          </cell>
          <cell r="BJ148">
            <v>458</v>
          </cell>
          <cell r="BK148">
            <v>90</v>
          </cell>
          <cell r="BL148">
            <v>100</v>
          </cell>
          <cell r="BM148"/>
          <cell r="BN148"/>
          <cell r="BO148"/>
          <cell r="BP148"/>
          <cell r="BQ148"/>
          <cell r="BR148"/>
          <cell r="BS148"/>
          <cell r="BT148"/>
          <cell r="BU148"/>
          <cell r="BV148"/>
          <cell r="BW148"/>
          <cell r="BX148"/>
          <cell r="BY148"/>
          <cell r="BZ148"/>
          <cell r="CA148"/>
          <cell r="CB148"/>
          <cell r="CC148"/>
          <cell r="CD148"/>
          <cell r="CE148"/>
          <cell r="CF148"/>
          <cell r="CG148"/>
          <cell r="CH148"/>
          <cell r="CI148"/>
          <cell r="CJ148"/>
          <cell r="CK148"/>
          <cell r="CL148"/>
          <cell r="CM148"/>
          <cell r="CN148"/>
          <cell r="CO148"/>
          <cell r="CP148"/>
          <cell r="CQ148"/>
        </row>
        <row r="149">
          <cell r="C149" t="str">
            <v>☆</v>
          </cell>
          <cell r="D149" t="str">
            <v>HC000027</v>
          </cell>
          <cell r="E149" t="str">
            <v xml:space="preserve"> BRKT-FUSIBLE LINK BOX</v>
          </cell>
          <cell r="F149" t="str">
            <v>A/S용</v>
          </cell>
          <cell r="AZ149" t="str">
            <v>A</v>
          </cell>
          <cell r="BA149" t="str">
            <v>부전(주)</v>
          </cell>
        </row>
        <row r="150">
          <cell r="C150" t="str">
            <v>☆</v>
          </cell>
          <cell r="D150" t="str">
            <v>HC000029</v>
          </cell>
          <cell r="E150" t="str">
            <v xml:space="preserve"> BRKT-FUSIBLE LINK BOX</v>
          </cell>
          <cell r="F150" t="str">
            <v>A/S용</v>
          </cell>
          <cell r="AZ150" t="str">
            <v>A</v>
          </cell>
          <cell r="BA150" t="str">
            <v>부전(주)</v>
          </cell>
        </row>
        <row r="151">
          <cell r="C151">
            <v>692</v>
          </cell>
          <cell r="D151" t="str">
            <v>HC000031</v>
          </cell>
          <cell r="E151" t="str">
            <v xml:space="preserve"> BRKT,ASHTRAY LH</v>
          </cell>
          <cell r="H151">
            <v>1</v>
          </cell>
          <cell r="L151">
            <v>1</v>
          </cell>
          <cell r="M151">
            <v>1</v>
          </cell>
          <cell r="N151">
            <v>1</v>
          </cell>
          <cell r="P151">
            <v>1</v>
          </cell>
          <cell r="R151">
            <v>1</v>
          </cell>
          <cell r="U151">
            <v>1</v>
          </cell>
          <cell r="W151">
            <v>1</v>
          </cell>
          <cell r="AB151">
            <v>1</v>
          </cell>
          <cell r="AC151">
            <v>1</v>
          </cell>
          <cell r="AD151">
            <v>1</v>
          </cell>
          <cell r="AF151">
            <v>1</v>
          </cell>
          <cell r="AG151"/>
          <cell r="AH151">
            <v>1</v>
          </cell>
          <cell r="AI151"/>
          <cell r="AJ151"/>
          <cell r="AK151"/>
          <cell r="AL151">
            <v>1</v>
          </cell>
          <cell r="AM151">
            <v>1</v>
          </cell>
          <cell r="AN151">
            <v>1</v>
          </cell>
          <cell r="AO151">
            <v>1</v>
          </cell>
          <cell r="AP151">
            <v>1</v>
          </cell>
          <cell r="AQ151"/>
          <cell r="AR151"/>
          <cell r="AS151"/>
          <cell r="AT151"/>
          <cell r="AU151"/>
          <cell r="AV151"/>
          <cell r="AW151">
            <v>1</v>
          </cell>
          <cell r="AX151"/>
          <cell r="AY151"/>
          <cell r="AZ151" t="str">
            <v>B</v>
          </cell>
          <cell r="BA151" t="str">
            <v>부전(주)</v>
          </cell>
          <cell r="BB151" t="str">
            <v>H50A17K</v>
          </cell>
          <cell r="BC151"/>
          <cell r="BD151" t="str">
            <v>K804</v>
          </cell>
          <cell r="BE151" t="str">
            <v>S/B</v>
          </cell>
          <cell r="BF151"/>
          <cell r="BG151"/>
          <cell r="BH151"/>
          <cell r="BI151">
            <v>49</v>
          </cell>
          <cell r="BJ151">
            <v>539</v>
          </cell>
          <cell r="BK151">
            <v>28</v>
          </cell>
          <cell r="BL151">
            <v>2</v>
          </cell>
          <cell r="BM151"/>
          <cell r="BN151"/>
          <cell r="BO151"/>
          <cell r="BP151"/>
          <cell r="BQ151"/>
          <cell r="BR151"/>
          <cell r="BS151"/>
          <cell r="BT151"/>
          <cell r="BU151"/>
          <cell r="BV151"/>
          <cell r="BW151"/>
          <cell r="BX151"/>
          <cell r="BY151"/>
          <cell r="BZ151"/>
          <cell r="CA151"/>
          <cell r="CB151"/>
          <cell r="CC151"/>
          <cell r="CD151"/>
          <cell r="CE151"/>
          <cell r="CF151"/>
          <cell r="CG151"/>
          <cell r="CH151"/>
          <cell r="CI151"/>
          <cell r="CJ151"/>
          <cell r="CK151"/>
          <cell r="CL151"/>
          <cell r="CM151"/>
          <cell r="CN151"/>
          <cell r="CO151"/>
          <cell r="CP151"/>
        </row>
        <row r="152">
          <cell r="C152">
            <v>692</v>
          </cell>
          <cell r="D152" t="str">
            <v>HC000032</v>
          </cell>
          <cell r="E152" t="str">
            <v xml:space="preserve"> BRKT ASHTARY RH</v>
          </cell>
          <cell r="H152">
            <v>1</v>
          </cell>
          <cell r="L152">
            <v>1</v>
          </cell>
          <cell r="M152">
            <v>1</v>
          </cell>
          <cell r="N152">
            <v>1</v>
          </cell>
          <cell r="P152">
            <v>1</v>
          </cell>
          <cell r="R152">
            <v>1</v>
          </cell>
          <cell r="U152">
            <v>1</v>
          </cell>
          <cell r="W152">
            <v>1</v>
          </cell>
          <cell r="AB152">
            <v>1</v>
          </cell>
          <cell r="AC152">
            <v>1</v>
          </cell>
          <cell r="AD152">
            <v>1</v>
          </cell>
          <cell r="AF152">
            <v>1</v>
          </cell>
          <cell r="AG152"/>
          <cell r="AH152">
            <v>1</v>
          </cell>
          <cell r="AI152"/>
          <cell r="AJ152"/>
          <cell r="AK152"/>
          <cell r="AL152">
            <v>1</v>
          </cell>
          <cell r="AM152">
            <v>1</v>
          </cell>
          <cell r="AN152">
            <v>1</v>
          </cell>
          <cell r="AO152">
            <v>1</v>
          </cell>
          <cell r="AP152">
            <v>1</v>
          </cell>
          <cell r="AQ152"/>
          <cell r="AR152"/>
          <cell r="AS152"/>
          <cell r="AT152"/>
          <cell r="AU152"/>
          <cell r="AV152"/>
          <cell r="AW152">
            <v>1</v>
          </cell>
          <cell r="AX152"/>
          <cell r="AY152"/>
          <cell r="AZ152" t="str">
            <v>B</v>
          </cell>
          <cell r="BA152" t="str">
            <v>부전(주)</v>
          </cell>
          <cell r="BB152" t="str">
            <v>H50A17K</v>
          </cell>
          <cell r="BC152"/>
          <cell r="BD152" t="str">
            <v>K804</v>
          </cell>
          <cell r="BE152" t="str">
            <v>S/B</v>
          </cell>
          <cell r="BF152"/>
          <cell r="BG152"/>
          <cell r="BH152"/>
          <cell r="BI152">
            <v>49</v>
          </cell>
          <cell r="BJ152">
            <v>539</v>
          </cell>
          <cell r="BK152">
            <v>28</v>
          </cell>
          <cell r="BL152">
            <v>2</v>
          </cell>
          <cell r="BM152"/>
          <cell r="BN152"/>
          <cell r="BO152"/>
          <cell r="BP152"/>
          <cell r="BQ152"/>
          <cell r="BR152"/>
          <cell r="BS152"/>
          <cell r="BT152"/>
          <cell r="BU152"/>
          <cell r="BV152"/>
          <cell r="BW152"/>
          <cell r="BX152"/>
          <cell r="BY152"/>
          <cell r="BZ152"/>
          <cell r="CA152"/>
          <cell r="CB152"/>
          <cell r="CC152"/>
          <cell r="CD152"/>
          <cell r="CE152"/>
          <cell r="CF152"/>
          <cell r="CG152"/>
          <cell r="CH152"/>
          <cell r="CI152"/>
          <cell r="CJ152"/>
          <cell r="CK152"/>
          <cell r="CL152"/>
          <cell r="CM152"/>
          <cell r="CN152"/>
          <cell r="CO152"/>
          <cell r="CP152"/>
        </row>
        <row r="153">
          <cell r="C153">
            <v>692</v>
          </cell>
          <cell r="D153" t="str">
            <v>HC000056</v>
          </cell>
          <cell r="E153" t="str">
            <v xml:space="preserve"> GUSSET,CTR PILLAR LH</v>
          </cell>
          <cell r="H153">
            <v>1</v>
          </cell>
          <cell r="L153">
            <v>1</v>
          </cell>
          <cell r="M153">
            <v>1</v>
          </cell>
          <cell r="N153">
            <v>1</v>
          </cell>
          <cell r="P153">
            <v>1</v>
          </cell>
          <cell r="R153">
            <v>1</v>
          </cell>
          <cell r="U153">
            <v>1</v>
          </cell>
          <cell r="W153">
            <v>1</v>
          </cell>
          <cell r="AB153">
            <v>1</v>
          </cell>
          <cell r="AC153">
            <v>1</v>
          </cell>
          <cell r="AD153">
            <v>1</v>
          </cell>
          <cell r="AF153">
            <v>1</v>
          </cell>
          <cell r="AG153"/>
          <cell r="AH153">
            <v>1</v>
          </cell>
          <cell r="AI153"/>
          <cell r="AJ153"/>
          <cell r="AK153"/>
          <cell r="AL153">
            <v>1</v>
          </cell>
          <cell r="AM153">
            <v>1</v>
          </cell>
          <cell r="AN153">
            <v>1</v>
          </cell>
          <cell r="AO153">
            <v>1</v>
          </cell>
          <cell r="AP153">
            <v>1</v>
          </cell>
          <cell r="AQ153"/>
          <cell r="AR153"/>
          <cell r="AS153"/>
          <cell r="AT153"/>
          <cell r="AU153"/>
          <cell r="AV153"/>
          <cell r="AW153">
            <v>1</v>
          </cell>
          <cell r="AX153"/>
          <cell r="AY153"/>
          <cell r="AZ153" t="str">
            <v>B</v>
          </cell>
          <cell r="BA153" t="str">
            <v>부전(주)</v>
          </cell>
          <cell r="BB153" t="str">
            <v>H50A17K</v>
          </cell>
          <cell r="BC153"/>
          <cell r="BD153" t="str">
            <v>K804</v>
          </cell>
          <cell r="BE153" t="str">
            <v>S/B</v>
          </cell>
          <cell r="BF153"/>
          <cell r="BG153"/>
          <cell r="BH153"/>
          <cell r="BI153">
            <v>49</v>
          </cell>
          <cell r="BJ153">
            <v>539</v>
          </cell>
          <cell r="BK153">
            <v>28</v>
          </cell>
          <cell r="BL153">
            <v>2</v>
          </cell>
          <cell r="BM153"/>
          <cell r="BN153"/>
          <cell r="BO153"/>
          <cell r="BP153"/>
          <cell r="BQ153"/>
          <cell r="BR153"/>
          <cell r="BS153"/>
          <cell r="BT153"/>
          <cell r="BU153"/>
          <cell r="BV153"/>
          <cell r="BW153"/>
          <cell r="BX153"/>
          <cell r="BY153"/>
          <cell r="BZ153"/>
          <cell r="CA153"/>
          <cell r="CB153"/>
          <cell r="CC153"/>
          <cell r="CD153"/>
          <cell r="CE153"/>
          <cell r="CF153"/>
          <cell r="CG153"/>
          <cell r="CH153"/>
          <cell r="CI153"/>
          <cell r="CJ153"/>
          <cell r="CK153"/>
          <cell r="CL153"/>
          <cell r="CM153"/>
          <cell r="CN153"/>
          <cell r="CO153"/>
          <cell r="CP153"/>
        </row>
        <row r="154">
          <cell r="C154">
            <v>692</v>
          </cell>
          <cell r="D154" t="str">
            <v>HC000057</v>
          </cell>
          <cell r="E154" t="str">
            <v xml:space="preserve"> GUSSET,CTR PILLAR RH</v>
          </cell>
          <cell r="H154">
            <v>1</v>
          </cell>
          <cell r="L154">
            <v>1</v>
          </cell>
          <cell r="M154">
            <v>1</v>
          </cell>
          <cell r="N154">
            <v>1</v>
          </cell>
          <cell r="P154">
            <v>1</v>
          </cell>
          <cell r="R154">
            <v>1</v>
          </cell>
          <cell r="U154">
            <v>1</v>
          </cell>
          <cell r="W154">
            <v>1</v>
          </cell>
          <cell r="AB154">
            <v>1</v>
          </cell>
          <cell r="AC154">
            <v>1</v>
          </cell>
          <cell r="AD154">
            <v>1</v>
          </cell>
          <cell r="AF154">
            <v>1</v>
          </cell>
          <cell r="AG154"/>
          <cell r="AH154">
            <v>1</v>
          </cell>
          <cell r="AI154"/>
          <cell r="AJ154"/>
          <cell r="AK154"/>
          <cell r="AL154">
            <v>1</v>
          </cell>
          <cell r="AM154">
            <v>1</v>
          </cell>
          <cell r="AN154">
            <v>1</v>
          </cell>
          <cell r="AO154">
            <v>1</v>
          </cell>
          <cell r="AP154">
            <v>1</v>
          </cell>
          <cell r="AQ154"/>
          <cell r="AR154"/>
          <cell r="AS154"/>
          <cell r="AT154"/>
          <cell r="AU154"/>
          <cell r="AV154"/>
          <cell r="AW154">
            <v>1</v>
          </cell>
          <cell r="AX154"/>
          <cell r="AY154"/>
          <cell r="AZ154" t="str">
            <v>B</v>
          </cell>
          <cell r="BA154" t="str">
            <v>부전(주)</v>
          </cell>
          <cell r="BB154" t="str">
            <v>H50A17K</v>
          </cell>
          <cell r="BC154"/>
          <cell r="BD154" t="str">
            <v>K804</v>
          </cell>
          <cell r="BE154" t="str">
            <v>S/B</v>
          </cell>
          <cell r="BF154"/>
          <cell r="BG154"/>
          <cell r="BH154"/>
          <cell r="BI154">
            <v>49</v>
          </cell>
          <cell r="BJ154">
            <v>539</v>
          </cell>
          <cell r="BK154">
            <v>28</v>
          </cell>
          <cell r="BL154">
            <v>2</v>
          </cell>
          <cell r="BM154"/>
          <cell r="BN154"/>
          <cell r="BO154"/>
          <cell r="BP154"/>
          <cell r="BQ154"/>
          <cell r="BR154"/>
          <cell r="BS154"/>
          <cell r="BT154"/>
          <cell r="BU154"/>
          <cell r="BV154"/>
          <cell r="BW154"/>
          <cell r="BX154"/>
          <cell r="BY154"/>
          <cell r="BZ154"/>
          <cell r="CA154"/>
          <cell r="CB154"/>
          <cell r="CC154"/>
          <cell r="CD154"/>
          <cell r="CE154"/>
          <cell r="CF154"/>
          <cell r="CG154"/>
          <cell r="CH154"/>
          <cell r="CI154"/>
          <cell r="CJ154"/>
          <cell r="CK154"/>
          <cell r="CL154"/>
          <cell r="CM154"/>
          <cell r="CN154"/>
          <cell r="CO154"/>
          <cell r="CP154"/>
        </row>
        <row r="155">
          <cell r="C155">
            <v>2584</v>
          </cell>
          <cell r="D155" t="str">
            <v>HC000067</v>
          </cell>
          <cell r="E155" t="str">
            <v xml:space="preserve"> REINF, HINGE(A)</v>
          </cell>
          <cell r="G155">
            <v>1</v>
          </cell>
          <cell r="AZ155" t="str">
            <v>B</v>
          </cell>
          <cell r="BA155" t="str">
            <v>부전(주)</v>
          </cell>
          <cell r="BB155" t="str">
            <v>H50A17K</v>
          </cell>
          <cell r="BD155" t="str">
            <v>K804</v>
          </cell>
          <cell r="BE155" t="str">
            <v>ALL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/>
          <cell r="BN155"/>
          <cell r="BO155"/>
          <cell r="BP155"/>
          <cell r="BQ155"/>
          <cell r="BR155"/>
          <cell r="BS155"/>
          <cell r="BT155"/>
          <cell r="BU155"/>
          <cell r="BV155"/>
          <cell r="BW155"/>
          <cell r="BX155"/>
          <cell r="BY155"/>
          <cell r="BZ155"/>
          <cell r="CA155"/>
          <cell r="CB155"/>
          <cell r="CC155"/>
          <cell r="CD155"/>
          <cell r="CE155"/>
          <cell r="CF155"/>
          <cell r="CG155"/>
          <cell r="CH155"/>
          <cell r="CI155"/>
          <cell r="CJ155"/>
          <cell r="CK155"/>
        </row>
        <row r="156">
          <cell r="C156">
            <v>2584</v>
          </cell>
          <cell r="D156" t="str">
            <v>HC000068</v>
          </cell>
          <cell r="E156" t="str">
            <v xml:space="preserve"> REINF, HINGE(B)</v>
          </cell>
          <cell r="G156">
            <v>1</v>
          </cell>
          <cell r="AZ156" t="str">
            <v>B</v>
          </cell>
          <cell r="BA156" t="str">
            <v>부전(주)</v>
          </cell>
          <cell r="BB156" t="str">
            <v>H50A17K</v>
          </cell>
          <cell r="BD156" t="str">
            <v>K804</v>
          </cell>
          <cell r="BE156" t="str">
            <v>ALL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/>
          <cell r="BN156"/>
          <cell r="BO156"/>
          <cell r="BP156"/>
          <cell r="BQ156"/>
          <cell r="BR156"/>
          <cell r="BS156"/>
          <cell r="BT156"/>
          <cell r="BU156"/>
          <cell r="BV156"/>
          <cell r="BW156"/>
          <cell r="BX156"/>
          <cell r="BY156"/>
          <cell r="BZ156"/>
          <cell r="CA156"/>
          <cell r="CB156"/>
          <cell r="CC156"/>
          <cell r="CD156"/>
          <cell r="CE156"/>
          <cell r="CF156"/>
          <cell r="CG156"/>
          <cell r="CH156"/>
          <cell r="CI156"/>
          <cell r="CJ156"/>
          <cell r="CK156"/>
        </row>
        <row r="157">
          <cell r="C157" t="str">
            <v>☆</v>
          </cell>
          <cell r="D157" t="str">
            <v>HC000073</v>
          </cell>
          <cell r="E157" t="str">
            <v xml:space="preserve"> BRKT</v>
          </cell>
          <cell r="F157" t="str">
            <v>A/S용</v>
          </cell>
          <cell r="AZ157" t="str">
            <v>A</v>
          </cell>
          <cell r="BA157" t="str">
            <v>부전(주)</v>
          </cell>
        </row>
        <row r="158">
          <cell r="C158">
            <v>2584</v>
          </cell>
          <cell r="D158" t="str">
            <v>HC000074</v>
          </cell>
          <cell r="E158" t="str">
            <v xml:space="preserve"> BULKHEAD ASSY LH</v>
          </cell>
          <cell r="G158">
            <v>1</v>
          </cell>
          <cell r="AZ158" t="str">
            <v>B</v>
          </cell>
          <cell r="BA158" t="str">
            <v>부전(주)</v>
          </cell>
          <cell r="BB158" t="str">
            <v>H50A16K</v>
          </cell>
          <cell r="BD158" t="str">
            <v>K804</v>
          </cell>
          <cell r="BE158" t="str">
            <v>ALL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/>
          <cell r="BN158"/>
          <cell r="BO158"/>
          <cell r="BP158"/>
          <cell r="BQ158"/>
          <cell r="BR158"/>
          <cell r="BS158"/>
          <cell r="BT158"/>
          <cell r="BU158"/>
          <cell r="BV158"/>
          <cell r="BW158"/>
          <cell r="BX158"/>
          <cell r="BY158"/>
          <cell r="BZ158"/>
          <cell r="CA158"/>
          <cell r="CB158"/>
          <cell r="CC158"/>
          <cell r="CD158"/>
          <cell r="CE158"/>
          <cell r="CF158"/>
          <cell r="CG158"/>
          <cell r="CH158"/>
          <cell r="CI158"/>
          <cell r="CJ158"/>
          <cell r="CK158"/>
        </row>
        <row r="159">
          <cell r="C159">
            <v>2584</v>
          </cell>
          <cell r="D159" t="str">
            <v>HC000075</v>
          </cell>
          <cell r="E159" t="str">
            <v xml:space="preserve"> BULKHEAD ASSY RH</v>
          </cell>
          <cell r="G159">
            <v>1</v>
          </cell>
          <cell r="AZ159" t="str">
            <v>B</v>
          </cell>
          <cell r="BA159" t="str">
            <v>부전(주)</v>
          </cell>
          <cell r="BB159" t="str">
            <v>H50A16K</v>
          </cell>
          <cell r="BD159" t="str">
            <v>K804</v>
          </cell>
          <cell r="BE159" t="str">
            <v>ALL</v>
          </cell>
          <cell r="BI159">
            <v>0</v>
          </cell>
          <cell r="BJ159">
            <v>0</v>
          </cell>
          <cell r="BK159">
            <v>0</v>
          </cell>
          <cell r="BL159">
            <v>0</v>
          </cell>
          <cell r="BM159"/>
          <cell r="BN159"/>
          <cell r="BO159"/>
          <cell r="BP159"/>
          <cell r="BQ159"/>
          <cell r="BR159"/>
          <cell r="BS159"/>
          <cell r="BT159"/>
          <cell r="BU159"/>
          <cell r="BV159"/>
          <cell r="BW159"/>
          <cell r="BX159"/>
          <cell r="BY159"/>
          <cell r="BZ159"/>
          <cell r="CA159"/>
          <cell r="CB159"/>
          <cell r="CC159"/>
          <cell r="CD159"/>
          <cell r="CE159"/>
          <cell r="CF159"/>
          <cell r="CG159"/>
          <cell r="CH159"/>
          <cell r="CI159"/>
          <cell r="CJ159"/>
          <cell r="CK159"/>
        </row>
        <row r="160">
          <cell r="C160">
            <v>2584</v>
          </cell>
          <cell r="D160" t="str">
            <v>HC000109</v>
          </cell>
          <cell r="E160" t="str">
            <v xml:space="preserve"> BRKT-FOOT REST</v>
          </cell>
          <cell r="G160">
            <v>1</v>
          </cell>
          <cell r="AZ160" t="str">
            <v>B</v>
          </cell>
          <cell r="BA160" t="str">
            <v>부전(주)</v>
          </cell>
          <cell r="BB160" t="str">
            <v>H50A13K</v>
          </cell>
          <cell r="BD160" t="str">
            <v>K804</v>
          </cell>
          <cell r="BE160" t="str">
            <v>ALL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/>
          <cell r="BN160"/>
          <cell r="BO160"/>
          <cell r="BP160"/>
          <cell r="BQ160"/>
          <cell r="BR160"/>
          <cell r="BS160"/>
          <cell r="BT160"/>
          <cell r="BU160"/>
          <cell r="BV160"/>
          <cell r="BW160"/>
          <cell r="BX160"/>
          <cell r="BY160"/>
          <cell r="BZ160"/>
          <cell r="CA160"/>
          <cell r="CB160"/>
          <cell r="CC160"/>
          <cell r="CD160"/>
          <cell r="CE160"/>
          <cell r="CF160"/>
          <cell r="CG160"/>
          <cell r="CH160"/>
          <cell r="CI160"/>
          <cell r="CJ160"/>
          <cell r="CK160"/>
        </row>
        <row r="161">
          <cell r="C161">
            <v>2584</v>
          </cell>
          <cell r="D161" t="str">
            <v>HC000110</v>
          </cell>
          <cell r="E161" t="str">
            <v xml:space="preserve"> BRKT-FOOT REST</v>
          </cell>
          <cell r="G161">
            <v>1</v>
          </cell>
          <cell r="AZ161" t="str">
            <v>B</v>
          </cell>
          <cell r="BA161" t="str">
            <v>부전(주)</v>
          </cell>
          <cell r="BB161" t="str">
            <v>H50A11K</v>
          </cell>
          <cell r="BD161" t="str">
            <v>K804</v>
          </cell>
          <cell r="BE161" t="str">
            <v>ALL</v>
          </cell>
          <cell r="BI161">
            <v>0</v>
          </cell>
          <cell r="BJ161">
            <v>0</v>
          </cell>
          <cell r="BK161">
            <v>0</v>
          </cell>
          <cell r="BL161">
            <v>0</v>
          </cell>
          <cell r="BM161"/>
          <cell r="BN161"/>
          <cell r="BO161"/>
          <cell r="BP161"/>
          <cell r="BQ161"/>
          <cell r="BR161"/>
          <cell r="BS161"/>
          <cell r="BT161"/>
          <cell r="BU161"/>
          <cell r="BV161"/>
          <cell r="BW161"/>
          <cell r="BX161"/>
          <cell r="BY161"/>
          <cell r="BZ161"/>
          <cell r="CA161"/>
          <cell r="CB161"/>
          <cell r="CC161"/>
          <cell r="CD161"/>
          <cell r="CE161"/>
          <cell r="CF161"/>
          <cell r="CG161"/>
          <cell r="CH161"/>
          <cell r="CI161"/>
          <cell r="CJ161"/>
          <cell r="CK161"/>
        </row>
        <row r="162">
          <cell r="C162">
            <v>2584</v>
          </cell>
          <cell r="D162" t="str">
            <v>HC000115A</v>
          </cell>
          <cell r="E162" t="str">
            <v xml:space="preserve"> TRAY ASSY,BATTERY</v>
          </cell>
          <cell r="G162">
            <v>1</v>
          </cell>
          <cell r="AZ162" t="str">
            <v>B</v>
          </cell>
          <cell r="BA162" t="str">
            <v>부전(주)</v>
          </cell>
          <cell r="BB162" t="str">
            <v>H50A14K</v>
          </cell>
          <cell r="BD162" t="str">
            <v>K804</v>
          </cell>
          <cell r="BE162" t="str">
            <v>ALL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/>
          <cell r="BN162"/>
          <cell r="BO162"/>
          <cell r="BP162"/>
          <cell r="BQ162"/>
          <cell r="BR162"/>
          <cell r="BS162"/>
          <cell r="BT162"/>
          <cell r="BU162"/>
          <cell r="BV162"/>
          <cell r="BW162"/>
          <cell r="BX162"/>
          <cell r="BY162"/>
          <cell r="BZ162"/>
          <cell r="CA162"/>
          <cell r="CB162"/>
          <cell r="CC162"/>
          <cell r="CD162"/>
          <cell r="CE162"/>
          <cell r="CF162"/>
          <cell r="CG162"/>
          <cell r="CH162"/>
          <cell r="CI162"/>
          <cell r="CJ162"/>
          <cell r="CK162"/>
        </row>
        <row r="163">
          <cell r="C163">
            <v>1892</v>
          </cell>
          <cell r="D163" t="str">
            <v>HC000127</v>
          </cell>
          <cell r="E163" t="str">
            <v xml:space="preserve"> REINF ASSY,2ND SEAT LH</v>
          </cell>
          <cell r="I163">
            <v>1</v>
          </cell>
          <cell r="J163">
            <v>1</v>
          </cell>
          <cell r="K163">
            <v>1</v>
          </cell>
          <cell r="O163">
            <v>1</v>
          </cell>
          <cell r="Q163">
            <v>1</v>
          </cell>
          <cell r="S163">
            <v>1</v>
          </cell>
          <cell r="T163">
            <v>1</v>
          </cell>
          <cell r="V163">
            <v>1</v>
          </cell>
          <cell r="X163">
            <v>1</v>
          </cell>
          <cell r="Y163">
            <v>1</v>
          </cell>
          <cell r="Z163">
            <v>1</v>
          </cell>
          <cell r="AA163">
            <v>1</v>
          </cell>
          <cell r="AE163">
            <v>1</v>
          </cell>
          <cell r="AG163">
            <v>1</v>
          </cell>
          <cell r="AI163">
            <v>1</v>
          </cell>
          <cell r="AJ163">
            <v>1</v>
          </cell>
          <cell r="AK163">
            <v>1</v>
          </cell>
          <cell r="AQ163">
            <v>1</v>
          </cell>
          <cell r="AR163">
            <v>1</v>
          </cell>
          <cell r="AS163">
            <v>1</v>
          </cell>
          <cell r="AT163">
            <v>1</v>
          </cell>
          <cell r="AU163">
            <v>1</v>
          </cell>
          <cell r="AV163">
            <v>1</v>
          </cell>
          <cell r="AX163">
            <v>1</v>
          </cell>
          <cell r="AY163">
            <v>1</v>
          </cell>
          <cell r="AZ163" t="str">
            <v>B</v>
          </cell>
          <cell r="BA163" t="str">
            <v>부전(주)</v>
          </cell>
          <cell r="BB163" t="str">
            <v>H50A11K</v>
          </cell>
          <cell r="BC163" t="str">
            <v>A2</v>
          </cell>
          <cell r="BD163" t="str">
            <v>K804</v>
          </cell>
          <cell r="BI163">
            <v>888</v>
          </cell>
          <cell r="BJ163">
            <v>458</v>
          </cell>
          <cell r="BK163">
            <v>90</v>
          </cell>
          <cell r="BL163">
            <v>100</v>
          </cell>
          <cell r="BM163"/>
          <cell r="BN163"/>
          <cell r="BO163"/>
          <cell r="BP163"/>
          <cell r="BQ163"/>
          <cell r="BR163"/>
          <cell r="BS163"/>
          <cell r="BT163"/>
          <cell r="BU163"/>
          <cell r="BV163"/>
          <cell r="BW163"/>
          <cell r="BX163"/>
          <cell r="BY163"/>
          <cell r="BZ163"/>
          <cell r="CA163"/>
          <cell r="CB163"/>
          <cell r="CC163"/>
          <cell r="CD163"/>
          <cell r="CE163"/>
          <cell r="CF163"/>
          <cell r="CG163"/>
          <cell r="CH163"/>
          <cell r="CI163"/>
          <cell r="CJ163"/>
          <cell r="CK163"/>
          <cell r="CL163"/>
          <cell r="CM163"/>
          <cell r="CN163"/>
          <cell r="CO163"/>
          <cell r="CP163"/>
          <cell r="CQ163"/>
        </row>
        <row r="164">
          <cell r="C164">
            <v>1892</v>
          </cell>
          <cell r="D164" t="str">
            <v>HC000128</v>
          </cell>
          <cell r="E164" t="str">
            <v xml:space="preserve"> REINF ASSY,2ND SEAT RH</v>
          </cell>
          <cell r="I164">
            <v>1</v>
          </cell>
          <cell r="J164">
            <v>1</v>
          </cell>
          <cell r="K164">
            <v>1</v>
          </cell>
          <cell r="O164">
            <v>1</v>
          </cell>
          <cell r="Q164">
            <v>1</v>
          </cell>
          <cell r="S164">
            <v>1</v>
          </cell>
          <cell r="T164">
            <v>1</v>
          </cell>
          <cell r="V164">
            <v>1</v>
          </cell>
          <cell r="X164">
            <v>1</v>
          </cell>
          <cell r="Y164">
            <v>1</v>
          </cell>
          <cell r="Z164">
            <v>1</v>
          </cell>
          <cell r="AA164">
            <v>1</v>
          </cell>
          <cell r="AE164">
            <v>1</v>
          </cell>
          <cell r="AG164">
            <v>1</v>
          </cell>
          <cell r="AI164">
            <v>1</v>
          </cell>
          <cell r="AJ164">
            <v>1</v>
          </cell>
          <cell r="AK164">
            <v>1</v>
          </cell>
          <cell r="AQ164">
            <v>1</v>
          </cell>
          <cell r="AR164">
            <v>1</v>
          </cell>
          <cell r="AS164">
            <v>1</v>
          </cell>
          <cell r="AT164">
            <v>1</v>
          </cell>
          <cell r="AU164">
            <v>1</v>
          </cell>
          <cell r="AV164">
            <v>1</v>
          </cell>
          <cell r="AX164">
            <v>1</v>
          </cell>
          <cell r="AY164">
            <v>1</v>
          </cell>
          <cell r="AZ164" t="str">
            <v>B</v>
          </cell>
          <cell r="BA164" t="str">
            <v>부전(주)</v>
          </cell>
          <cell r="BB164" t="str">
            <v>H50A11K</v>
          </cell>
          <cell r="BC164" t="str">
            <v>A2</v>
          </cell>
          <cell r="BD164" t="str">
            <v>K804</v>
          </cell>
          <cell r="BI164">
            <v>888</v>
          </cell>
          <cell r="BJ164">
            <v>458</v>
          </cell>
          <cell r="BK164">
            <v>90</v>
          </cell>
          <cell r="BL164">
            <v>100</v>
          </cell>
          <cell r="BM164"/>
          <cell r="BN164"/>
          <cell r="BO164"/>
          <cell r="BP164"/>
          <cell r="BQ164"/>
          <cell r="BR164"/>
          <cell r="BS164"/>
          <cell r="BT164"/>
          <cell r="BU164"/>
          <cell r="BV164"/>
          <cell r="BW164"/>
          <cell r="BX164"/>
          <cell r="BY164"/>
          <cell r="BZ164"/>
          <cell r="CA164"/>
          <cell r="CB164"/>
          <cell r="CC164"/>
          <cell r="CD164"/>
          <cell r="CE164"/>
          <cell r="CF164"/>
          <cell r="CG164"/>
          <cell r="CH164"/>
          <cell r="CI164"/>
          <cell r="CJ164"/>
          <cell r="CK164"/>
          <cell r="CL164"/>
          <cell r="CM164"/>
          <cell r="CN164"/>
          <cell r="CO164"/>
          <cell r="CP164"/>
          <cell r="CQ164"/>
        </row>
        <row r="165">
          <cell r="C165">
            <v>1687</v>
          </cell>
          <cell r="D165" t="str">
            <v>HC000149</v>
          </cell>
          <cell r="E165" t="str">
            <v xml:space="preserve"> BRKT,STOPPER</v>
          </cell>
          <cell r="H165">
            <v>1</v>
          </cell>
          <cell r="I165">
            <v>1</v>
          </cell>
          <cell r="J165">
            <v>1</v>
          </cell>
          <cell r="K165">
            <v>1</v>
          </cell>
          <cell r="L165">
            <v>1</v>
          </cell>
          <cell r="M165">
            <v>1</v>
          </cell>
          <cell r="R165">
            <v>1</v>
          </cell>
          <cell r="S165">
            <v>1</v>
          </cell>
          <cell r="T165">
            <v>1</v>
          </cell>
          <cell r="U165">
            <v>1</v>
          </cell>
          <cell r="V165">
            <v>1</v>
          </cell>
          <cell r="Y165">
            <v>1</v>
          </cell>
          <cell r="AA165">
            <v>1</v>
          </cell>
          <cell r="AB165">
            <v>1</v>
          </cell>
          <cell r="AC165">
            <v>1</v>
          </cell>
          <cell r="AD165">
            <v>1</v>
          </cell>
          <cell r="AF165">
            <v>1</v>
          </cell>
          <cell r="AG165">
            <v>1</v>
          </cell>
          <cell r="AH165"/>
          <cell r="AI165"/>
          <cell r="AJ165">
            <v>1</v>
          </cell>
          <cell r="AK165">
            <v>1</v>
          </cell>
          <cell r="AL165">
            <v>1</v>
          </cell>
          <cell r="AM165">
            <v>1</v>
          </cell>
          <cell r="AN165"/>
          <cell r="AO165"/>
          <cell r="AP165"/>
          <cell r="AQ165">
            <v>1</v>
          </cell>
          <cell r="AR165"/>
          <cell r="AS165"/>
          <cell r="AT165"/>
          <cell r="AU165">
            <v>1</v>
          </cell>
          <cell r="AV165">
            <v>1</v>
          </cell>
          <cell r="AW165"/>
          <cell r="AX165">
            <v>1</v>
          </cell>
          <cell r="AY165"/>
          <cell r="AZ165" t="str">
            <v>B</v>
          </cell>
          <cell r="BA165" t="str">
            <v>부전(주)</v>
          </cell>
          <cell r="BB165" t="str">
            <v>H50A13K</v>
          </cell>
          <cell r="BC165" t="str">
            <v>MB322342</v>
          </cell>
          <cell r="BD165" t="str">
            <v>K804</v>
          </cell>
          <cell r="BE165"/>
          <cell r="BF165"/>
          <cell r="BG165"/>
          <cell r="BH165"/>
          <cell r="BI165">
            <v>515</v>
          </cell>
          <cell r="BJ165">
            <v>995</v>
          </cell>
          <cell r="BK165">
            <v>50</v>
          </cell>
          <cell r="BL165">
            <v>27</v>
          </cell>
          <cell r="BM165"/>
          <cell r="BN165"/>
          <cell r="BO165"/>
          <cell r="BP165"/>
          <cell r="BQ165"/>
          <cell r="BR165"/>
          <cell r="BS165"/>
          <cell r="BT165"/>
          <cell r="BU165"/>
          <cell r="BV165"/>
          <cell r="BW165"/>
          <cell r="BX165"/>
          <cell r="BY165"/>
          <cell r="BZ165"/>
          <cell r="CA165"/>
          <cell r="CB165"/>
          <cell r="CC165"/>
          <cell r="CD165"/>
          <cell r="CE165"/>
          <cell r="CF165"/>
          <cell r="CG165"/>
          <cell r="CH165"/>
          <cell r="CI165"/>
          <cell r="CJ165"/>
          <cell r="CK165"/>
          <cell r="CL165"/>
          <cell r="CM165"/>
          <cell r="CN165"/>
          <cell r="CO165"/>
          <cell r="CP165"/>
        </row>
        <row r="166">
          <cell r="C166">
            <v>2454</v>
          </cell>
          <cell r="D166" t="str">
            <v>HC000150A</v>
          </cell>
          <cell r="E166" t="str">
            <v xml:space="preserve"> BRKT BRK HOSE</v>
          </cell>
          <cell r="F166" t="str">
            <v>-431B</v>
          </cell>
          <cell r="H166">
            <v>1</v>
          </cell>
          <cell r="I166">
            <v>1</v>
          </cell>
          <cell r="J166">
            <v>1</v>
          </cell>
          <cell r="K166">
            <v>1</v>
          </cell>
          <cell r="L166">
            <v>1</v>
          </cell>
          <cell r="M166">
            <v>1</v>
          </cell>
          <cell r="N166">
            <v>1</v>
          </cell>
          <cell r="O166">
            <v>1</v>
          </cell>
          <cell r="P166">
            <v>1</v>
          </cell>
          <cell r="Q166">
            <v>1</v>
          </cell>
          <cell r="R166">
            <v>1</v>
          </cell>
          <cell r="S166">
            <v>1</v>
          </cell>
          <cell r="T166">
            <v>1</v>
          </cell>
          <cell r="U166">
            <v>1</v>
          </cell>
          <cell r="V166">
            <v>1</v>
          </cell>
          <cell r="Y166">
            <v>1</v>
          </cell>
          <cell r="Z166">
            <v>1</v>
          </cell>
          <cell r="AA166">
            <v>1</v>
          </cell>
          <cell r="AB166">
            <v>1</v>
          </cell>
          <cell r="AC166">
            <v>1</v>
          </cell>
          <cell r="AD166">
            <v>1</v>
          </cell>
          <cell r="AF166">
            <v>1</v>
          </cell>
          <cell r="AG166">
            <v>1</v>
          </cell>
          <cell r="AH166"/>
          <cell r="AI166"/>
          <cell r="AJ166">
            <v>1</v>
          </cell>
          <cell r="AK166">
            <v>1</v>
          </cell>
          <cell r="AL166">
            <v>1</v>
          </cell>
          <cell r="AM166">
            <v>1</v>
          </cell>
          <cell r="AN166"/>
          <cell r="AO166">
            <v>1</v>
          </cell>
          <cell r="AP166"/>
          <cell r="AQ166">
            <v>1</v>
          </cell>
          <cell r="AR166"/>
          <cell r="AS166">
            <v>1</v>
          </cell>
          <cell r="AT166"/>
          <cell r="AU166">
            <v>1</v>
          </cell>
          <cell r="AV166">
            <v>1</v>
          </cell>
          <cell r="AW166"/>
          <cell r="AX166">
            <v>1</v>
          </cell>
          <cell r="AY166"/>
          <cell r="AZ166" t="str">
            <v>B</v>
          </cell>
          <cell r="BA166" t="str">
            <v>부전(주)</v>
          </cell>
          <cell r="BB166" t="str">
            <v>H50A13K01-1,4,14,15,61,63,65</v>
          </cell>
          <cell r="BC166" t="str">
            <v>MB134680</v>
          </cell>
          <cell r="BD166" t="str">
            <v>K804</v>
          </cell>
          <cell r="BE166"/>
          <cell r="BF166"/>
          <cell r="BG166"/>
          <cell r="BH166"/>
          <cell r="BI166">
            <v>937</v>
          </cell>
          <cell r="BJ166">
            <v>995</v>
          </cell>
          <cell r="BK166">
            <v>58</v>
          </cell>
          <cell r="BL166">
            <v>56</v>
          </cell>
          <cell r="BM166"/>
          <cell r="BN166"/>
          <cell r="BO166"/>
          <cell r="BP166"/>
          <cell r="BQ166"/>
          <cell r="BR166"/>
          <cell r="BS166"/>
          <cell r="BT166"/>
          <cell r="BU166"/>
          <cell r="BV166"/>
          <cell r="BW166"/>
          <cell r="BX166"/>
          <cell r="BY166"/>
          <cell r="BZ166"/>
          <cell r="CA166"/>
          <cell r="CB166"/>
          <cell r="CC166"/>
          <cell r="CD166"/>
          <cell r="CE166"/>
          <cell r="CF166"/>
          <cell r="CG166"/>
          <cell r="CH166"/>
          <cell r="CI166"/>
          <cell r="CJ166"/>
          <cell r="CK166"/>
          <cell r="CL166"/>
          <cell r="CM166"/>
          <cell r="CN166"/>
          <cell r="CO166"/>
          <cell r="CP166"/>
        </row>
        <row r="167">
          <cell r="C167">
            <v>539</v>
          </cell>
          <cell r="D167" t="str">
            <v>HC250005</v>
          </cell>
          <cell r="E167" t="str">
            <v xml:space="preserve"> BRKR,GUARD BAR LH</v>
          </cell>
          <cell r="R167">
            <v>1</v>
          </cell>
          <cell r="AB167">
            <v>1</v>
          </cell>
          <cell r="AZ167" t="str">
            <v>B</v>
          </cell>
          <cell r="BA167" t="str">
            <v>부전(주)</v>
          </cell>
          <cell r="BB167" t="str">
            <v>H50A17K</v>
          </cell>
          <cell r="BC167" t="str">
            <v>V2</v>
          </cell>
          <cell r="BD167" t="str">
            <v>K804</v>
          </cell>
          <cell r="BE167" t="str">
            <v>VAN</v>
          </cell>
          <cell r="BI167">
            <v>0</v>
          </cell>
          <cell r="BJ167">
            <v>539</v>
          </cell>
          <cell r="BK167">
            <v>0</v>
          </cell>
          <cell r="BL167">
            <v>0</v>
          </cell>
          <cell r="BM167"/>
          <cell r="BN167"/>
          <cell r="BO167"/>
          <cell r="BP167"/>
          <cell r="BQ167"/>
          <cell r="BR167"/>
          <cell r="BS167"/>
          <cell r="BT167"/>
          <cell r="BU167"/>
          <cell r="BV167"/>
          <cell r="BW167"/>
          <cell r="BX167"/>
          <cell r="BY167"/>
          <cell r="BZ167"/>
          <cell r="CA167"/>
          <cell r="CB167"/>
          <cell r="CC167"/>
          <cell r="CD167"/>
          <cell r="CE167"/>
          <cell r="CF167"/>
          <cell r="CG167"/>
          <cell r="CH167"/>
          <cell r="CI167"/>
          <cell r="CJ167"/>
          <cell r="CK167"/>
          <cell r="CL167"/>
          <cell r="CM167"/>
          <cell r="CN167"/>
        </row>
        <row r="168">
          <cell r="C168">
            <v>539</v>
          </cell>
          <cell r="D168" t="str">
            <v>HC250006</v>
          </cell>
          <cell r="E168" t="str">
            <v xml:space="preserve"> BRKR,GUARD BAR RH</v>
          </cell>
          <cell r="R168">
            <v>1</v>
          </cell>
          <cell r="AB168">
            <v>1</v>
          </cell>
          <cell r="AZ168" t="str">
            <v>B</v>
          </cell>
          <cell r="BA168" t="str">
            <v>부전(주)</v>
          </cell>
          <cell r="BB168" t="str">
            <v>H50A17K</v>
          </cell>
          <cell r="BC168" t="str">
            <v>V2</v>
          </cell>
          <cell r="BD168" t="str">
            <v>K804</v>
          </cell>
          <cell r="BE168" t="str">
            <v>VAN</v>
          </cell>
          <cell r="BI168">
            <v>0</v>
          </cell>
          <cell r="BJ168">
            <v>539</v>
          </cell>
          <cell r="BK168">
            <v>0</v>
          </cell>
          <cell r="BL168">
            <v>0</v>
          </cell>
          <cell r="BM168"/>
          <cell r="BN168"/>
          <cell r="BO168"/>
          <cell r="BP168"/>
          <cell r="BQ168"/>
          <cell r="BR168"/>
          <cell r="BS168"/>
          <cell r="BT168"/>
          <cell r="BU168"/>
          <cell r="BV168"/>
          <cell r="BW168"/>
          <cell r="BX168"/>
          <cell r="BY168"/>
          <cell r="BZ168"/>
          <cell r="CA168"/>
          <cell r="CB168"/>
          <cell r="CC168"/>
          <cell r="CD168"/>
          <cell r="CE168"/>
          <cell r="CF168"/>
          <cell r="CG168"/>
          <cell r="CH168"/>
          <cell r="CI168"/>
          <cell r="CJ168"/>
          <cell r="CK168"/>
          <cell r="CL168"/>
          <cell r="CM168"/>
          <cell r="CN168"/>
        </row>
        <row r="169">
          <cell r="C169">
            <v>6168</v>
          </cell>
          <cell r="D169" t="str">
            <v>HC756001A</v>
          </cell>
          <cell r="E169" t="str">
            <v xml:space="preserve"> BRKT-LSTING WIRE(A)</v>
          </cell>
          <cell r="S169">
            <v>12</v>
          </cell>
          <cell r="T169">
            <v>12</v>
          </cell>
          <cell r="Y169">
            <v>12</v>
          </cell>
          <cell r="Z169">
            <v>12</v>
          </cell>
          <cell r="AA169">
            <v>12</v>
          </cell>
          <cell r="AU169">
            <v>12</v>
          </cell>
          <cell r="AV169">
            <v>12</v>
          </cell>
          <cell r="AX169">
            <v>12</v>
          </cell>
          <cell r="AY169">
            <v>12</v>
          </cell>
          <cell r="AZ169" t="str">
            <v>B</v>
          </cell>
          <cell r="BA169" t="str">
            <v>부전(주)</v>
          </cell>
          <cell r="BB169" t="str">
            <v>H50A17K</v>
          </cell>
          <cell r="BD169" t="str">
            <v>K804</v>
          </cell>
          <cell r="BE169" t="str">
            <v>HR'</v>
          </cell>
          <cell r="BI169">
            <v>0</v>
          </cell>
          <cell r="BJ169">
            <v>5472</v>
          </cell>
          <cell r="BK169">
            <v>0</v>
          </cell>
          <cell r="BL169">
            <v>420</v>
          </cell>
          <cell r="BM169"/>
          <cell r="BN169"/>
          <cell r="BO169"/>
          <cell r="BP169"/>
          <cell r="BQ169"/>
          <cell r="BR169"/>
          <cell r="BS169"/>
          <cell r="BT169"/>
          <cell r="BU169"/>
          <cell r="BV169"/>
          <cell r="BW169"/>
          <cell r="BX169"/>
          <cell r="BY169"/>
          <cell r="BZ169"/>
          <cell r="CA169"/>
          <cell r="CB169"/>
          <cell r="CC169"/>
          <cell r="CD169"/>
          <cell r="CE169"/>
          <cell r="CF169"/>
          <cell r="CG169"/>
          <cell r="CH169"/>
          <cell r="CI169"/>
          <cell r="CJ169"/>
          <cell r="CK169"/>
          <cell r="CL169"/>
          <cell r="CM169"/>
        </row>
        <row r="170">
          <cell r="C170">
            <v>1028</v>
          </cell>
          <cell r="D170" t="str">
            <v>HC756002</v>
          </cell>
          <cell r="E170" t="str">
            <v xml:space="preserve"> BRKT-LSTING WIRE(B)</v>
          </cell>
          <cell r="S170">
            <v>2</v>
          </cell>
          <cell r="T170">
            <v>2</v>
          </cell>
          <cell r="Y170">
            <v>2</v>
          </cell>
          <cell r="Z170">
            <v>2</v>
          </cell>
          <cell r="AA170">
            <v>2</v>
          </cell>
          <cell r="AU170">
            <v>2</v>
          </cell>
          <cell r="AV170">
            <v>2</v>
          </cell>
          <cell r="AX170">
            <v>2</v>
          </cell>
          <cell r="AY170">
            <v>2</v>
          </cell>
          <cell r="AZ170" t="str">
            <v>B</v>
          </cell>
          <cell r="BA170" t="str">
            <v>부전(주)</v>
          </cell>
          <cell r="BB170" t="str">
            <v>H50A17K</v>
          </cell>
          <cell r="BD170" t="str">
            <v>K804</v>
          </cell>
          <cell r="BE170" t="str">
            <v>HR'</v>
          </cell>
          <cell r="BI170">
            <v>0</v>
          </cell>
          <cell r="BJ170">
            <v>912</v>
          </cell>
          <cell r="BK170">
            <v>0</v>
          </cell>
          <cell r="BL170">
            <v>70</v>
          </cell>
          <cell r="BM170"/>
          <cell r="BN170"/>
          <cell r="BO170"/>
          <cell r="BP170"/>
          <cell r="BQ170"/>
          <cell r="BR170"/>
          <cell r="BS170"/>
          <cell r="BT170"/>
          <cell r="BU170"/>
          <cell r="BV170"/>
          <cell r="BW170"/>
          <cell r="BX170"/>
          <cell r="BY170"/>
          <cell r="BZ170"/>
          <cell r="CA170"/>
          <cell r="CB170"/>
          <cell r="CC170"/>
          <cell r="CD170"/>
          <cell r="CE170"/>
          <cell r="CF170"/>
          <cell r="CG170"/>
          <cell r="CH170"/>
          <cell r="CI170"/>
          <cell r="CJ170"/>
          <cell r="CK170"/>
          <cell r="CL170"/>
          <cell r="CM170"/>
        </row>
        <row r="171">
          <cell r="C171">
            <v>10336</v>
          </cell>
          <cell r="D171" t="str">
            <v>HG000011</v>
          </cell>
          <cell r="E171" t="str">
            <v xml:space="preserve"> REINF,F/DR ARMREST</v>
          </cell>
          <cell r="G171">
            <v>4</v>
          </cell>
          <cell r="AZ171" t="str">
            <v>B</v>
          </cell>
          <cell r="BA171" t="str">
            <v>부전(주)</v>
          </cell>
          <cell r="BB171" t="str">
            <v>H50B31K01-01^3</v>
          </cell>
          <cell r="BC171" t="str">
            <v>MB321375</v>
          </cell>
          <cell r="BD171" t="str">
            <v>K804</v>
          </cell>
          <cell r="BE171" t="str">
            <v>ALL</v>
          </cell>
          <cell r="BI171">
            <v>0</v>
          </cell>
          <cell r="BJ171">
            <v>0</v>
          </cell>
          <cell r="BK171">
            <v>0</v>
          </cell>
          <cell r="BL171">
            <v>0</v>
          </cell>
          <cell r="BM171"/>
          <cell r="BN171"/>
          <cell r="BO171"/>
          <cell r="BP171"/>
          <cell r="BQ171"/>
          <cell r="BR171"/>
          <cell r="BS171"/>
          <cell r="BT171"/>
          <cell r="BU171"/>
          <cell r="BV171"/>
          <cell r="BW171"/>
          <cell r="BX171"/>
          <cell r="BY171"/>
          <cell r="BZ171"/>
          <cell r="CA171"/>
          <cell r="CB171"/>
          <cell r="CC171"/>
          <cell r="CD171"/>
          <cell r="CE171"/>
          <cell r="CF171"/>
          <cell r="CG171"/>
          <cell r="CH171"/>
          <cell r="CI171"/>
          <cell r="CJ171"/>
          <cell r="CK171"/>
        </row>
        <row r="172">
          <cell r="C172">
            <v>2584</v>
          </cell>
          <cell r="D172" t="str">
            <v>HG300003</v>
          </cell>
          <cell r="E172" t="str">
            <v xml:space="preserve"> REINF,LATCH</v>
          </cell>
          <cell r="G172">
            <v>1</v>
          </cell>
          <cell r="AZ172" t="str">
            <v>B</v>
          </cell>
          <cell r="BA172" t="str">
            <v>부전(주)</v>
          </cell>
          <cell r="BB172" t="str">
            <v>H50B33K</v>
          </cell>
          <cell r="BD172" t="str">
            <v>K804</v>
          </cell>
          <cell r="BE172" t="str">
            <v>ALL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/>
          <cell r="BN172"/>
          <cell r="BO172"/>
          <cell r="BP172"/>
          <cell r="BQ172"/>
          <cell r="BR172"/>
          <cell r="BS172"/>
          <cell r="BT172"/>
          <cell r="BU172"/>
          <cell r="BV172"/>
          <cell r="BW172"/>
          <cell r="BX172"/>
          <cell r="BY172"/>
          <cell r="BZ172"/>
          <cell r="CA172"/>
          <cell r="CB172"/>
          <cell r="CC172"/>
          <cell r="CD172"/>
          <cell r="CE172"/>
          <cell r="CF172"/>
          <cell r="CG172"/>
          <cell r="CH172"/>
          <cell r="CI172"/>
          <cell r="CJ172"/>
          <cell r="CK172"/>
        </row>
        <row r="173">
          <cell r="C173">
            <v>2584</v>
          </cell>
          <cell r="D173" t="str">
            <v>HG300005</v>
          </cell>
          <cell r="E173" t="str">
            <v xml:space="preserve"> PLATE ASSY(A)</v>
          </cell>
          <cell r="F173" t="str">
            <v>삭제예정ITEM</v>
          </cell>
          <cell r="G173">
            <v>1</v>
          </cell>
          <cell r="AZ173" t="str">
            <v>B</v>
          </cell>
          <cell r="BA173" t="str">
            <v>부전(주)</v>
          </cell>
          <cell r="BB173" t="str">
            <v>H50B33K</v>
          </cell>
          <cell r="BD173" t="str">
            <v>K804</v>
          </cell>
          <cell r="BE173" t="str">
            <v>ALL</v>
          </cell>
          <cell r="BI173">
            <v>0</v>
          </cell>
          <cell r="BJ173">
            <v>0</v>
          </cell>
          <cell r="BK173">
            <v>0</v>
          </cell>
          <cell r="BL173">
            <v>0</v>
          </cell>
          <cell r="BM173"/>
          <cell r="BN173"/>
          <cell r="BO173"/>
          <cell r="BP173"/>
          <cell r="BQ173"/>
          <cell r="BR173"/>
          <cell r="BS173"/>
          <cell r="BT173"/>
          <cell r="BU173"/>
          <cell r="BV173"/>
          <cell r="BW173"/>
          <cell r="BX173"/>
          <cell r="BY173"/>
          <cell r="BZ173"/>
          <cell r="CA173"/>
          <cell r="CB173"/>
          <cell r="CC173"/>
          <cell r="CD173"/>
          <cell r="CE173"/>
          <cell r="CF173"/>
          <cell r="CG173"/>
          <cell r="CH173"/>
          <cell r="CI173"/>
          <cell r="CJ173"/>
          <cell r="CK173"/>
        </row>
        <row r="174">
          <cell r="C174">
            <v>2584</v>
          </cell>
          <cell r="D174" t="str">
            <v>HG300006</v>
          </cell>
          <cell r="E174" t="str">
            <v xml:space="preserve"> PLATE ASSY(B)</v>
          </cell>
          <cell r="F174" t="str">
            <v>삭제예정ITEM</v>
          </cell>
          <cell r="G174">
            <v>1</v>
          </cell>
          <cell r="AZ174" t="str">
            <v>B</v>
          </cell>
          <cell r="BA174" t="str">
            <v>부전(주)</v>
          </cell>
          <cell r="BB174" t="str">
            <v>H50B33K</v>
          </cell>
          <cell r="BD174" t="str">
            <v>K804</v>
          </cell>
          <cell r="BE174" t="str">
            <v>ALL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/>
          <cell r="BN174"/>
          <cell r="BO174"/>
          <cell r="BP174"/>
          <cell r="BQ174"/>
          <cell r="BR174"/>
          <cell r="BS174"/>
          <cell r="BT174"/>
          <cell r="BU174"/>
          <cell r="BV174"/>
          <cell r="BW174"/>
          <cell r="BX174"/>
          <cell r="BY174"/>
          <cell r="BZ174"/>
          <cell r="CA174"/>
          <cell r="CB174"/>
          <cell r="CC174"/>
          <cell r="CD174"/>
          <cell r="CE174"/>
          <cell r="CF174"/>
          <cell r="CG174"/>
          <cell r="CH174"/>
          <cell r="CI174"/>
          <cell r="CJ174"/>
          <cell r="CK174"/>
        </row>
        <row r="175">
          <cell r="C175">
            <v>2534</v>
          </cell>
          <cell r="D175" t="str">
            <v>HG320007</v>
          </cell>
          <cell r="E175" t="str">
            <v xml:space="preserve"> BRKT ACTUATOR</v>
          </cell>
          <cell r="F175" t="str">
            <v>+846A</v>
          </cell>
          <cell r="J175">
            <v>1</v>
          </cell>
          <cell r="K175">
            <v>1</v>
          </cell>
          <cell r="L175">
            <v>1</v>
          </cell>
          <cell r="M175">
            <v>1</v>
          </cell>
          <cell r="N175">
            <v>1</v>
          </cell>
          <cell r="O175">
            <v>1</v>
          </cell>
          <cell r="P175">
            <v>1</v>
          </cell>
          <cell r="Q175">
            <v>1</v>
          </cell>
          <cell r="R175">
            <v>1</v>
          </cell>
          <cell r="S175">
            <v>1</v>
          </cell>
          <cell r="T175">
            <v>1</v>
          </cell>
          <cell r="U175">
            <v>1</v>
          </cell>
          <cell r="V175">
            <v>1</v>
          </cell>
          <cell r="W175">
            <v>1</v>
          </cell>
          <cell r="X175">
            <v>1</v>
          </cell>
          <cell r="Y175">
            <v>1</v>
          </cell>
          <cell r="Z175">
            <v>1</v>
          </cell>
          <cell r="AA175">
            <v>1</v>
          </cell>
          <cell r="AB175">
            <v>1</v>
          </cell>
          <cell r="AD175">
            <v>1</v>
          </cell>
          <cell r="AE175">
            <v>1</v>
          </cell>
          <cell r="AH175">
            <v>1</v>
          </cell>
          <cell r="AI175">
            <v>1</v>
          </cell>
          <cell r="AJ175">
            <v>1</v>
          </cell>
          <cell r="AK175">
            <v>1</v>
          </cell>
          <cell r="AL175">
            <v>1</v>
          </cell>
          <cell r="AM175">
            <v>1</v>
          </cell>
          <cell r="AN175">
            <v>1</v>
          </cell>
          <cell r="AO175">
            <v>1</v>
          </cell>
          <cell r="AP175">
            <v>1</v>
          </cell>
          <cell r="AQ175">
            <v>1</v>
          </cell>
          <cell r="AR175">
            <v>1</v>
          </cell>
          <cell r="AS175">
            <v>1</v>
          </cell>
          <cell r="AT175">
            <v>1</v>
          </cell>
          <cell r="AU175">
            <v>1</v>
          </cell>
          <cell r="AV175">
            <v>1</v>
          </cell>
          <cell r="AW175">
            <v>1</v>
          </cell>
          <cell r="AX175">
            <v>1</v>
          </cell>
          <cell r="AY175">
            <v>1</v>
          </cell>
          <cell r="AZ175" t="str">
            <v>B</v>
          </cell>
          <cell r="BA175" t="str">
            <v>부전(주)</v>
          </cell>
          <cell r="BB175" t="str">
            <v>H50B33K</v>
          </cell>
          <cell r="BD175" t="str">
            <v>K804</v>
          </cell>
          <cell r="BI175">
            <v>917</v>
          </cell>
          <cell r="BJ175">
            <v>997</v>
          </cell>
          <cell r="BK175">
            <v>118</v>
          </cell>
          <cell r="BL175">
            <v>102</v>
          </cell>
          <cell r="BM175"/>
          <cell r="BN175"/>
          <cell r="BO175"/>
          <cell r="BP175"/>
          <cell r="BQ175"/>
          <cell r="BR175"/>
          <cell r="BS175"/>
          <cell r="BT175"/>
          <cell r="BU175"/>
          <cell r="BV175"/>
          <cell r="BW175"/>
          <cell r="BX175"/>
          <cell r="BY175"/>
          <cell r="BZ175"/>
          <cell r="CA175"/>
          <cell r="CB175"/>
          <cell r="CC175"/>
          <cell r="CD175"/>
          <cell r="CE175"/>
          <cell r="CF175"/>
          <cell r="CG175"/>
          <cell r="CH175"/>
          <cell r="CI175"/>
          <cell r="CJ175"/>
          <cell r="CK175"/>
          <cell r="CL175"/>
          <cell r="CM175"/>
          <cell r="CN175"/>
          <cell r="CO175"/>
          <cell r="CP175"/>
          <cell r="CQ175"/>
        </row>
        <row r="176">
          <cell r="C176">
            <v>2584</v>
          </cell>
          <cell r="D176" t="str">
            <v>HG530001</v>
          </cell>
          <cell r="E176" t="str">
            <v xml:space="preserve"> BRKT-RELEASE CABLE</v>
          </cell>
          <cell r="I176">
            <v>1</v>
          </cell>
          <cell r="J176">
            <v>1</v>
          </cell>
          <cell r="K176">
            <v>1</v>
          </cell>
          <cell r="M176">
            <v>1</v>
          </cell>
          <cell r="N176">
            <v>1</v>
          </cell>
          <cell r="O176">
            <v>1</v>
          </cell>
          <cell r="P176">
            <v>1</v>
          </cell>
          <cell r="Q176">
            <v>1</v>
          </cell>
          <cell r="R176">
            <v>1</v>
          </cell>
          <cell r="S176">
            <v>1</v>
          </cell>
          <cell r="T176">
            <v>1</v>
          </cell>
          <cell r="W176">
            <v>1</v>
          </cell>
          <cell r="X176">
            <v>1</v>
          </cell>
          <cell r="AC176">
            <v>1</v>
          </cell>
          <cell r="AD176">
            <v>1</v>
          </cell>
          <cell r="AE176">
            <v>1</v>
          </cell>
          <cell r="AH176">
            <v>1</v>
          </cell>
          <cell r="AI176">
            <v>1</v>
          </cell>
          <cell r="AJ176">
            <v>1</v>
          </cell>
          <cell r="AK176">
            <v>1</v>
          </cell>
          <cell r="AL176">
            <v>1</v>
          </cell>
          <cell r="AM176">
            <v>1</v>
          </cell>
          <cell r="AN176">
            <v>1</v>
          </cell>
          <cell r="AO176">
            <v>1</v>
          </cell>
          <cell r="AQ176">
            <v>1</v>
          </cell>
          <cell r="AR176">
            <v>1</v>
          </cell>
          <cell r="AS176">
            <v>1</v>
          </cell>
          <cell r="AU176">
            <v>1</v>
          </cell>
          <cell r="AW176">
            <v>1</v>
          </cell>
          <cell r="AX176">
            <v>1</v>
          </cell>
          <cell r="AY176">
            <v>1</v>
          </cell>
          <cell r="AZ176" t="str">
            <v>T</v>
          </cell>
          <cell r="BA176" t="str">
            <v>부전(주)</v>
          </cell>
        </row>
        <row r="177">
          <cell r="C177">
            <v>10336</v>
          </cell>
          <cell r="D177" t="str">
            <v>HH080001</v>
          </cell>
          <cell r="E177" t="str">
            <v xml:space="preserve"> HOOK ASSY</v>
          </cell>
          <cell r="I177">
            <v>4</v>
          </cell>
          <cell r="J177">
            <v>4</v>
          </cell>
          <cell r="K177">
            <v>4</v>
          </cell>
          <cell r="M177">
            <v>4</v>
          </cell>
          <cell r="N177">
            <v>4</v>
          </cell>
          <cell r="O177">
            <v>4</v>
          </cell>
          <cell r="P177">
            <v>4</v>
          </cell>
          <cell r="Q177">
            <v>4</v>
          </cell>
          <cell r="R177">
            <v>4</v>
          </cell>
          <cell r="S177">
            <v>4</v>
          </cell>
          <cell r="T177">
            <v>4</v>
          </cell>
          <cell r="W177">
            <v>4</v>
          </cell>
          <cell r="X177">
            <v>4</v>
          </cell>
          <cell r="AC177">
            <v>4</v>
          </cell>
          <cell r="AD177">
            <v>4</v>
          </cell>
          <cell r="AE177">
            <v>4</v>
          </cell>
          <cell r="AH177">
            <v>4</v>
          </cell>
          <cell r="AI177">
            <v>4</v>
          </cell>
          <cell r="AJ177">
            <v>4</v>
          </cell>
          <cell r="AK177">
            <v>4</v>
          </cell>
          <cell r="AL177">
            <v>4</v>
          </cell>
          <cell r="AM177">
            <v>4</v>
          </cell>
          <cell r="AN177">
            <v>4</v>
          </cell>
          <cell r="AO177">
            <v>4</v>
          </cell>
          <cell r="AQ177">
            <v>4</v>
          </cell>
          <cell r="AR177">
            <v>4</v>
          </cell>
          <cell r="AS177">
            <v>4</v>
          </cell>
          <cell r="AU177">
            <v>4</v>
          </cell>
          <cell r="AW177">
            <v>4</v>
          </cell>
          <cell r="AX177">
            <v>4</v>
          </cell>
          <cell r="AY177">
            <v>4</v>
          </cell>
          <cell r="AZ177" t="str">
            <v>T</v>
          </cell>
          <cell r="BA177" t="str">
            <v>부전(주)</v>
          </cell>
        </row>
        <row r="178">
          <cell r="C178">
            <v>2584</v>
          </cell>
          <cell r="D178" t="str">
            <v>HQ503151</v>
          </cell>
          <cell r="E178" t="str">
            <v xml:space="preserve"> SUPT FRT DR STAT W/STRIP</v>
          </cell>
          <cell r="G178">
            <v>1</v>
          </cell>
          <cell r="AZ178" t="str">
            <v>B</v>
          </cell>
          <cell r="BA178" t="str">
            <v>부전(주)</v>
          </cell>
          <cell r="BB178" t="str">
            <v>H50B31K</v>
          </cell>
          <cell r="BD178" t="str">
            <v>K804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/>
          <cell r="BN178"/>
          <cell r="BO178"/>
          <cell r="BP178"/>
          <cell r="BQ178"/>
          <cell r="BR178"/>
          <cell r="BS178"/>
          <cell r="BT178"/>
          <cell r="BU178"/>
          <cell r="BV178"/>
          <cell r="BW178"/>
          <cell r="BX178"/>
          <cell r="BY178"/>
          <cell r="BZ178"/>
          <cell r="CA178"/>
          <cell r="CB178"/>
          <cell r="CC178"/>
          <cell r="CD178"/>
          <cell r="CE178"/>
          <cell r="CF178"/>
          <cell r="CG178"/>
          <cell r="CH178"/>
          <cell r="CI178"/>
          <cell r="CJ178"/>
        </row>
        <row r="179">
          <cell r="C179">
            <v>2584</v>
          </cell>
          <cell r="D179" t="str">
            <v>HQ503152</v>
          </cell>
          <cell r="E179" t="str">
            <v xml:space="preserve"> SUPT FRT DR STAT W/STRIP</v>
          </cell>
          <cell r="G179">
            <v>1</v>
          </cell>
          <cell r="AZ179" t="str">
            <v>B</v>
          </cell>
          <cell r="BA179" t="str">
            <v>부전(주)</v>
          </cell>
          <cell r="BB179" t="str">
            <v>H50B31K</v>
          </cell>
          <cell r="BD179" t="str">
            <v>K804</v>
          </cell>
          <cell r="BI179">
            <v>0</v>
          </cell>
          <cell r="BJ179">
            <v>0</v>
          </cell>
          <cell r="BK179">
            <v>0</v>
          </cell>
          <cell r="BL179">
            <v>0</v>
          </cell>
          <cell r="BM179"/>
          <cell r="BN179"/>
          <cell r="BO179"/>
          <cell r="BP179"/>
          <cell r="BQ179"/>
          <cell r="BR179"/>
          <cell r="BS179"/>
          <cell r="BT179"/>
          <cell r="BU179"/>
          <cell r="BV179"/>
          <cell r="BW179"/>
          <cell r="BX179"/>
          <cell r="BY179"/>
          <cell r="BZ179"/>
          <cell r="CA179"/>
          <cell r="CB179"/>
          <cell r="CC179"/>
          <cell r="CD179"/>
          <cell r="CE179"/>
          <cell r="CF179"/>
          <cell r="CG179"/>
          <cell r="CH179"/>
          <cell r="CI179"/>
          <cell r="CJ179"/>
        </row>
        <row r="180">
          <cell r="C180">
            <v>125</v>
          </cell>
          <cell r="D180" t="str">
            <v>HQ505429</v>
          </cell>
          <cell r="E180" t="str">
            <v xml:space="preserve"> BRKT RAD CONDENSER</v>
          </cell>
          <cell r="AI180">
            <v>1</v>
          </cell>
          <cell r="AK180">
            <v>1</v>
          </cell>
          <cell r="AN180">
            <v>1</v>
          </cell>
          <cell r="AP180">
            <v>1</v>
          </cell>
          <cell r="AR180">
            <v>1</v>
          </cell>
          <cell r="AT180">
            <v>1</v>
          </cell>
          <cell r="AW180">
            <v>1</v>
          </cell>
          <cell r="AX180">
            <v>1</v>
          </cell>
          <cell r="AY180">
            <v>1</v>
          </cell>
          <cell r="AZ180" t="str">
            <v>B</v>
          </cell>
          <cell r="BA180" t="str">
            <v>부전(주)</v>
          </cell>
          <cell r="BD180" t="str">
            <v>K804</v>
          </cell>
          <cell r="BI180">
            <v>0</v>
          </cell>
          <cell r="BJ180">
            <v>0</v>
          </cell>
          <cell r="BK180">
            <v>61</v>
          </cell>
          <cell r="BL180">
            <v>46</v>
          </cell>
          <cell r="BM180"/>
          <cell r="BN180"/>
          <cell r="BO180"/>
          <cell r="BP180"/>
          <cell r="BQ180"/>
          <cell r="BR180"/>
          <cell r="BS180"/>
          <cell r="BT180"/>
          <cell r="BU180"/>
          <cell r="BV180"/>
          <cell r="BW180"/>
          <cell r="BX180"/>
          <cell r="BY180"/>
          <cell r="BZ180"/>
          <cell r="CA180"/>
          <cell r="CB180"/>
          <cell r="CC180"/>
          <cell r="CD180"/>
          <cell r="CE180"/>
          <cell r="CF180"/>
          <cell r="CG180"/>
          <cell r="CH180"/>
          <cell r="CI180"/>
          <cell r="CJ180"/>
        </row>
        <row r="181">
          <cell r="C181">
            <v>1</v>
          </cell>
          <cell r="D181" t="str">
            <v>HQ505436</v>
          </cell>
          <cell r="E181" t="str">
            <v xml:space="preserve"> BRKT-IGNITON COIL</v>
          </cell>
          <cell r="AK181">
            <v>1</v>
          </cell>
          <cell r="AX181">
            <v>1</v>
          </cell>
          <cell r="AZ181" t="str">
            <v>B</v>
          </cell>
          <cell r="BA181" t="str">
            <v>부전(주)</v>
          </cell>
        </row>
        <row r="182">
          <cell r="C182">
            <v>2584</v>
          </cell>
          <cell r="D182" t="str">
            <v>HQ505531</v>
          </cell>
          <cell r="E182" t="str">
            <v xml:space="preserve"> REINF UPR ASSY LH</v>
          </cell>
          <cell r="G182">
            <v>1</v>
          </cell>
          <cell r="AZ182" t="str">
            <v>B</v>
          </cell>
          <cell r="BA182" t="str">
            <v>부전(주)</v>
          </cell>
          <cell r="BD182" t="str">
            <v>K804</v>
          </cell>
          <cell r="BI182">
            <v>0</v>
          </cell>
          <cell r="BJ182">
            <v>0</v>
          </cell>
          <cell r="BK182">
            <v>0</v>
          </cell>
          <cell r="BL182">
            <v>0</v>
          </cell>
          <cell r="BM182"/>
          <cell r="BN182"/>
          <cell r="BO182"/>
          <cell r="BP182"/>
          <cell r="BQ182"/>
          <cell r="BR182"/>
          <cell r="BS182"/>
          <cell r="BT182"/>
          <cell r="BU182"/>
          <cell r="BV182"/>
          <cell r="BW182"/>
          <cell r="BX182"/>
          <cell r="BY182"/>
          <cell r="BZ182"/>
          <cell r="CA182"/>
          <cell r="CB182"/>
          <cell r="CC182"/>
          <cell r="CD182"/>
          <cell r="CE182"/>
          <cell r="CF182"/>
          <cell r="CG182"/>
          <cell r="CH182"/>
          <cell r="CI182"/>
          <cell r="CJ182"/>
        </row>
        <row r="183">
          <cell r="C183">
            <v>2584</v>
          </cell>
          <cell r="D183" t="str">
            <v>HQ505541</v>
          </cell>
          <cell r="E183" t="str">
            <v xml:space="preserve"> REINF UPR ASSY RH</v>
          </cell>
          <cell r="G183">
            <v>1</v>
          </cell>
          <cell r="AZ183" t="str">
            <v>B</v>
          </cell>
          <cell r="BA183" t="str">
            <v>부전(주)</v>
          </cell>
          <cell r="BD183" t="str">
            <v>K804</v>
          </cell>
          <cell r="BI183">
            <v>0</v>
          </cell>
          <cell r="BJ183">
            <v>0</v>
          </cell>
          <cell r="BK183">
            <v>0</v>
          </cell>
          <cell r="BL183">
            <v>0</v>
          </cell>
          <cell r="BM183"/>
          <cell r="BN183"/>
          <cell r="BO183"/>
          <cell r="BP183"/>
          <cell r="BQ183"/>
          <cell r="BR183"/>
          <cell r="BS183"/>
          <cell r="BT183"/>
          <cell r="BU183"/>
          <cell r="BV183"/>
          <cell r="BW183"/>
          <cell r="BX183"/>
          <cell r="BY183"/>
          <cell r="BZ183"/>
          <cell r="CA183"/>
          <cell r="CB183"/>
          <cell r="CC183"/>
          <cell r="CD183"/>
          <cell r="CE183"/>
          <cell r="CF183"/>
          <cell r="CG183"/>
          <cell r="CH183"/>
          <cell r="CI183"/>
          <cell r="CJ183"/>
        </row>
        <row r="184">
          <cell r="C184">
            <v>2584</v>
          </cell>
          <cell r="D184" t="str">
            <v>HQ505815A</v>
          </cell>
          <cell r="E184" t="str">
            <v xml:space="preserve"> BRKT,PEDAL SUPT(LHD)</v>
          </cell>
          <cell r="G184">
            <v>1</v>
          </cell>
          <cell r="AZ184" t="str">
            <v>B</v>
          </cell>
          <cell r="BA184" t="str">
            <v>부전(주)</v>
          </cell>
          <cell r="BB184" t="str">
            <v>H50A18K</v>
          </cell>
          <cell r="BC184" t="str">
            <v>MB275385A</v>
          </cell>
          <cell r="BD184" t="str">
            <v>K804</v>
          </cell>
          <cell r="BI184">
            <v>0</v>
          </cell>
          <cell r="BJ184">
            <v>0</v>
          </cell>
          <cell r="BK184">
            <v>0</v>
          </cell>
          <cell r="BL184">
            <v>0</v>
          </cell>
          <cell r="BM184"/>
          <cell r="BN184"/>
          <cell r="BO184"/>
          <cell r="BP184"/>
          <cell r="BQ184"/>
          <cell r="BR184"/>
          <cell r="BS184"/>
          <cell r="BT184"/>
          <cell r="BU184"/>
          <cell r="BV184"/>
          <cell r="BW184"/>
          <cell r="BX184"/>
          <cell r="BY184"/>
          <cell r="BZ184"/>
          <cell r="CA184"/>
          <cell r="CB184"/>
          <cell r="CC184"/>
          <cell r="CD184"/>
          <cell r="CE184"/>
          <cell r="CF184"/>
          <cell r="CG184"/>
          <cell r="CH184"/>
          <cell r="CI184"/>
          <cell r="CJ184"/>
        </row>
        <row r="185">
          <cell r="C185">
            <v>674</v>
          </cell>
          <cell r="D185" t="str">
            <v>HQ505817</v>
          </cell>
          <cell r="E185" t="str">
            <v xml:space="preserve"> BRKT-SOL V/V MT'G</v>
          </cell>
          <cell r="H185">
            <v>1</v>
          </cell>
          <cell r="K185">
            <v>1</v>
          </cell>
          <cell r="L185">
            <v>1</v>
          </cell>
          <cell r="M185">
            <v>1</v>
          </cell>
          <cell r="T185">
            <v>1</v>
          </cell>
          <cell r="U185">
            <v>1</v>
          </cell>
          <cell r="V185">
            <v>1</v>
          </cell>
          <cell r="Y185">
            <v>1</v>
          </cell>
          <cell r="AA185">
            <v>1</v>
          </cell>
          <cell r="AB185">
            <v>1</v>
          </cell>
          <cell r="AC185">
            <v>1</v>
          </cell>
          <cell r="AD185">
            <v>1</v>
          </cell>
          <cell r="AF185">
            <v>1</v>
          </cell>
          <cell r="AG185">
            <v>1</v>
          </cell>
          <cell r="AH185"/>
          <cell r="AI185"/>
          <cell r="AJ185">
            <v>1</v>
          </cell>
          <cell r="AK185">
            <v>1</v>
          </cell>
          <cell r="AL185">
            <v>1</v>
          </cell>
          <cell r="AM185">
            <v>1</v>
          </cell>
          <cell r="AN185"/>
          <cell r="AO185"/>
          <cell r="AP185"/>
          <cell r="AQ185">
            <v>1</v>
          </cell>
          <cell r="AR185"/>
          <cell r="AS185"/>
          <cell r="AT185"/>
          <cell r="AU185">
            <v>1</v>
          </cell>
          <cell r="AV185">
            <v>1</v>
          </cell>
          <cell r="AW185"/>
          <cell r="AX185">
            <v>1</v>
          </cell>
          <cell r="AY185"/>
          <cell r="AZ185" t="str">
            <v>B</v>
          </cell>
          <cell r="BA185" t="str">
            <v>부전(주)</v>
          </cell>
          <cell r="BB185"/>
          <cell r="BC185"/>
          <cell r="BD185"/>
          <cell r="BE185"/>
          <cell r="BF185"/>
          <cell r="BG185"/>
          <cell r="BH185"/>
          <cell r="BI185"/>
          <cell r="BJ185"/>
        </row>
        <row r="186">
          <cell r="C186">
            <v>2584</v>
          </cell>
          <cell r="D186" t="str">
            <v>MB021143A</v>
          </cell>
          <cell r="E186" t="str">
            <v xml:space="preserve"> PLATE,ROD</v>
          </cell>
          <cell r="G186">
            <v>1</v>
          </cell>
          <cell r="AZ186" t="str">
            <v>T</v>
          </cell>
          <cell r="BA186" t="str">
            <v>부전(주)</v>
          </cell>
          <cell r="BB186" t="str">
            <v>H51A35K</v>
          </cell>
          <cell r="BD186" t="str">
            <v>K804</v>
          </cell>
          <cell r="BE186" t="str">
            <v>ALL</v>
          </cell>
          <cell r="BI186" t="e">
            <v>#REF!</v>
          </cell>
          <cell r="BJ186" t="e">
            <v>#REF!</v>
          </cell>
          <cell r="BK186" t="e">
            <v>#REF!</v>
          </cell>
          <cell r="BL186" t="e">
            <v>#REF!</v>
          </cell>
          <cell r="BM186"/>
          <cell r="BN186"/>
          <cell r="BO186"/>
          <cell r="BP186"/>
          <cell r="BQ186"/>
          <cell r="BR186"/>
          <cell r="BS186"/>
          <cell r="BT186"/>
          <cell r="BU186"/>
          <cell r="BV186"/>
          <cell r="BW186"/>
          <cell r="BX186"/>
          <cell r="BY186"/>
          <cell r="BZ186"/>
          <cell r="CA186"/>
          <cell r="CB186"/>
          <cell r="CC186"/>
          <cell r="CD186"/>
          <cell r="CE186"/>
          <cell r="CF186"/>
          <cell r="CG186"/>
          <cell r="CH186"/>
          <cell r="CI186"/>
          <cell r="CJ186"/>
          <cell r="CK186"/>
        </row>
        <row r="187">
          <cell r="C187">
            <v>3288</v>
          </cell>
          <cell r="D187" t="str">
            <v>MB109709</v>
          </cell>
          <cell r="E187" t="str">
            <v xml:space="preserve"> CLAMP A</v>
          </cell>
          <cell r="I187">
            <v>2</v>
          </cell>
          <cell r="J187">
            <v>2</v>
          </cell>
          <cell r="K187">
            <v>2</v>
          </cell>
          <cell r="R187">
            <v>2</v>
          </cell>
          <cell r="S187">
            <v>2</v>
          </cell>
          <cell r="T187">
            <v>2</v>
          </cell>
          <cell r="AC187">
            <v>2</v>
          </cell>
          <cell r="AJ187">
            <v>2</v>
          </cell>
          <cell r="AK187">
            <v>2</v>
          </cell>
          <cell r="AL187">
            <v>2</v>
          </cell>
          <cell r="AM187">
            <v>2</v>
          </cell>
          <cell r="AQ187">
            <v>2</v>
          </cell>
          <cell r="AU187">
            <v>2</v>
          </cell>
          <cell r="AX187">
            <v>2</v>
          </cell>
          <cell r="AZ187" t="str">
            <v>T</v>
          </cell>
          <cell r="BA187" t="str">
            <v>부전(주)</v>
          </cell>
        </row>
        <row r="188">
          <cell r="C188">
            <v>2584</v>
          </cell>
          <cell r="D188" t="str">
            <v>MB112617A</v>
          </cell>
          <cell r="E188" t="str">
            <v xml:space="preserve"> REINF,PULL HANDLE</v>
          </cell>
          <cell r="G188">
            <v>1</v>
          </cell>
          <cell r="AZ188" t="str">
            <v>B</v>
          </cell>
          <cell r="BA188" t="str">
            <v>부전(주)</v>
          </cell>
          <cell r="BB188" t="str">
            <v>H50B33K</v>
          </cell>
          <cell r="BD188" t="str">
            <v>K804</v>
          </cell>
          <cell r="BE188" t="str">
            <v>ALL</v>
          </cell>
          <cell r="BI188">
            <v>0</v>
          </cell>
          <cell r="BJ188">
            <v>0</v>
          </cell>
          <cell r="BK188">
            <v>0</v>
          </cell>
          <cell r="BL188">
            <v>0</v>
          </cell>
          <cell r="BM188"/>
          <cell r="BN188"/>
          <cell r="BO188"/>
          <cell r="BP188"/>
          <cell r="BQ188"/>
          <cell r="BR188"/>
          <cell r="BS188"/>
          <cell r="BT188"/>
          <cell r="BU188"/>
          <cell r="BV188"/>
          <cell r="BW188"/>
          <cell r="BX188"/>
          <cell r="BY188"/>
          <cell r="BZ188"/>
          <cell r="CA188"/>
          <cell r="CB188"/>
          <cell r="CC188"/>
          <cell r="CD188"/>
          <cell r="CE188"/>
          <cell r="CF188"/>
          <cell r="CG188"/>
          <cell r="CH188"/>
          <cell r="CI188"/>
          <cell r="CJ188"/>
          <cell r="CK188"/>
        </row>
        <row r="189">
          <cell r="C189">
            <v>2584</v>
          </cell>
          <cell r="D189" t="str">
            <v>MB112622</v>
          </cell>
          <cell r="E189" t="str">
            <v xml:space="preserve"> REINF,UPPER</v>
          </cell>
          <cell r="G189">
            <v>1</v>
          </cell>
          <cell r="AZ189" t="str">
            <v>B</v>
          </cell>
          <cell r="BA189" t="str">
            <v>부전(주)</v>
          </cell>
          <cell r="BB189" t="str">
            <v>H50B33K</v>
          </cell>
          <cell r="BD189" t="str">
            <v>K804</v>
          </cell>
          <cell r="BE189" t="str">
            <v>ALL</v>
          </cell>
          <cell r="BI189">
            <v>0</v>
          </cell>
          <cell r="BJ189">
            <v>0</v>
          </cell>
          <cell r="BK189">
            <v>0</v>
          </cell>
          <cell r="BL189">
            <v>0</v>
          </cell>
          <cell r="BM189"/>
          <cell r="BN189"/>
          <cell r="BO189"/>
          <cell r="BP189"/>
          <cell r="BQ189"/>
          <cell r="BR189"/>
          <cell r="BS189"/>
          <cell r="BT189"/>
          <cell r="BU189"/>
          <cell r="BV189"/>
          <cell r="BW189"/>
          <cell r="BX189"/>
          <cell r="BY189"/>
          <cell r="BZ189"/>
          <cell r="CA189"/>
          <cell r="CB189"/>
          <cell r="CC189"/>
          <cell r="CD189"/>
          <cell r="CE189"/>
          <cell r="CF189"/>
          <cell r="CG189"/>
          <cell r="CH189"/>
          <cell r="CI189"/>
          <cell r="CJ189"/>
          <cell r="CK189"/>
        </row>
        <row r="190">
          <cell r="C190">
            <v>2584</v>
          </cell>
          <cell r="D190" t="str">
            <v>MB112763</v>
          </cell>
          <cell r="E190" t="str">
            <v xml:space="preserve"> FEMALE-BACK DR BUMPER</v>
          </cell>
          <cell r="I190">
            <v>1</v>
          </cell>
          <cell r="J190">
            <v>1</v>
          </cell>
          <cell r="K190">
            <v>1</v>
          </cell>
          <cell r="M190">
            <v>1</v>
          </cell>
          <cell r="N190">
            <v>1</v>
          </cell>
          <cell r="O190">
            <v>1</v>
          </cell>
          <cell r="P190">
            <v>1</v>
          </cell>
          <cell r="Q190">
            <v>1</v>
          </cell>
          <cell r="R190">
            <v>1</v>
          </cell>
          <cell r="S190">
            <v>1</v>
          </cell>
          <cell r="T190">
            <v>1</v>
          </cell>
          <cell r="W190">
            <v>1</v>
          </cell>
          <cell r="X190">
            <v>1</v>
          </cell>
          <cell r="AC190">
            <v>1</v>
          </cell>
          <cell r="AD190">
            <v>1</v>
          </cell>
          <cell r="AE190">
            <v>1</v>
          </cell>
          <cell r="AH190">
            <v>1</v>
          </cell>
          <cell r="AI190">
            <v>1</v>
          </cell>
          <cell r="AJ190">
            <v>1</v>
          </cell>
          <cell r="AK190">
            <v>1</v>
          </cell>
          <cell r="AL190">
            <v>1</v>
          </cell>
          <cell r="AM190">
            <v>1</v>
          </cell>
          <cell r="AN190">
            <v>1</v>
          </cell>
          <cell r="AO190">
            <v>1</v>
          </cell>
          <cell r="AQ190">
            <v>1</v>
          </cell>
          <cell r="AR190">
            <v>1</v>
          </cell>
          <cell r="AS190">
            <v>1</v>
          </cell>
          <cell r="AU190">
            <v>1</v>
          </cell>
          <cell r="AW190">
            <v>1</v>
          </cell>
          <cell r="AX190">
            <v>1</v>
          </cell>
          <cell r="AY190">
            <v>1</v>
          </cell>
          <cell r="AZ190" t="str">
            <v xml:space="preserve"> T</v>
          </cell>
          <cell r="BA190" t="str">
            <v>부전(주)</v>
          </cell>
        </row>
        <row r="191">
          <cell r="C191">
            <v>1413</v>
          </cell>
          <cell r="D191" t="str">
            <v>MB115256A</v>
          </cell>
          <cell r="E191" t="str">
            <v xml:space="preserve"> NUT PLATE</v>
          </cell>
          <cell r="F191" t="str">
            <v>+431</v>
          </cell>
          <cell r="K191">
            <v>1</v>
          </cell>
          <cell r="M191">
            <v>1</v>
          </cell>
          <cell r="N191">
            <v>1</v>
          </cell>
          <cell r="O191">
            <v>1</v>
          </cell>
          <cell r="P191">
            <v>1</v>
          </cell>
          <cell r="Q191">
            <v>1</v>
          </cell>
          <cell r="T191">
            <v>1</v>
          </cell>
          <cell r="W191">
            <v>1</v>
          </cell>
          <cell r="X191">
            <v>1</v>
          </cell>
          <cell r="Z191">
            <v>1</v>
          </cell>
          <cell r="AD191">
            <v>1</v>
          </cell>
          <cell r="AE191">
            <v>1</v>
          </cell>
          <cell r="AH191">
            <v>1</v>
          </cell>
          <cell r="AI191">
            <v>1</v>
          </cell>
          <cell r="AO191">
            <v>1</v>
          </cell>
          <cell r="AP191">
            <v>1</v>
          </cell>
          <cell r="AS191">
            <v>1</v>
          </cell>
          <cell r="AT191">
            <v>1</v>
          </cell>
          <cell r="AW191">
            <v>1</v>
          </cell>
          <cell r="AZ191" t="str">
            <v>B</v>
          </cell>
          <cell r="BA191" t="str">
            <v>부전(주)</v>
          </cell>
          <cell r="BB191" t="str">
            <v>H50A11K01-6,7,10,11,14^17</v>
          </cell>
          <cell r="BC191" t="str">
            <v>D</v>
          </cell>
          <cell r="BD191" t="str">
            <v>K804</v>
          </cell>
          <cell r="BE191" t="str">
            <v>AT</v>
          </cell>
          <cell r="BI191">
            <v>684</v>
          </cell>
          <cell r="BJ191">
            <v>237</v>
          </cell>
          <cell r="BK191">
            <v>61</v>
          </cell>
          <cell r="BL191">
            <v>31</v>
          </cell>
          <cell r="BM191"/>
          <cell r="BN191"/>
          <cell r="BO191"/>
          <cell r="BP191"/>
          <cell r="BQ191"/>
          <cell r="BR191"/>
          <cell r="BS191"/>
          <cell r="BT191"/>
          <cell r="BU191"/>
          <cell r="BV191"/>
          <cell r="BW191"/>
          <cell r="BX191"/>
          <cell r="BY191"/>
          <cell r="BZ191"/>
          <cell r="CA191"/>
          <cell r="CB191"/>
          <cell r="CC191"/>
          <cell r="CD191"/>
          <cell r="CE191"/>
          <cell r="CF191"/>
          <cell r="CG191"/>
          <cell r="CH191"/>
          <cell r="CI191"/>
          <cell r="CJ191"/>
          <cell r="CK191"/>
          <cell r="CL191"/>
          <cell r="CM191"/>
          <cell r="CN191"/>
          <cell r="CO191"/>
          <cell r="CP191"/>
          <cell r="CQ191"/>
        </row>
        <row r="192">
          <cell r="C192">
            <v>12435</v>
          </cell>
          <cell r="D192" t="str">
            <v>MB129884A</v>
          </cell>
          <cell r="E192" t="str">
            <v xml:space="preserve"> SUPPORT-CLIP</v>
          </cell>
          <cell r="F192" t="str">
            <v>-271A</v>
          </cell>
          <cell r="I192">
            <v>7</v>
          </cell>
          <cell r="J192">
            <v>7</v>
          </cell>
          <cell r="K192">
            <v>7</v>
          </cell>
          <cell r="M192">
            <v>2</v>
          </cell>
          <cell r="N192">
            <v>2</v>
          </cell>
          <cell r="O192">
            <v>2</v>
          </cell>
          <cell r="P192">
            <v>2</v>
          </cell>
          <cell r="Q192">
            <v>2</v>
          </cell>
          <cell r="R192">
            <v>6</v>
          </cell>
          <cell r="S192">
            <v>7</v>
          </cell>
          <cell r="T192">
            <v>7</v>
          </cell>
          <cell r="W192">
            <v>1</v>
          </cell>
          <cell r="X192">
            <v>1</v>
          </cell>
          <cell r="AC192">
            <v>6</v>
          </cell>
          <cell r="AD192">
            <v>2</v>
          </cell>
          <cell r="AE192">
            <v>1</v>
          </cell>
          <cell r="AH192">
            <v>1</v>
          </cell>
          <cell r="AI192">
            <v>1</v>
          </cell>
          <cell r="AJ192">
            <v>1</v>
          </cell>
          <cell r="AK192">
            <v>7</v>
          </cell>
          <cell r="AL192">
            <v>6</v>
          </cell>
          <cell r="AM192">
            <v>6</v>
          </cell>
          <cell r="AN192">
            <v>2</v>
          </cell>
          <cell r="AP192">
            <v>7</v>
          </cell>
          <cell r="AR192">
            <v>1</v>
          </cell>
          <cell r="AS192">
            <v>2</v>
          </cell>
          <cell r="AU192">
            <v>7</v>
          </cell>
          <cell r="AW192">
            <v>1</v>
          </cell>
          <cell r="AX192">
            <v>1</v>
          </cell>
          <cell r="AY192">
            <v>6</v>
          </cell>
          <cell r="AZ192" t="str">
            <v xml:space="preserve"> T</v>
          </cell>
          <cell r="BA192" t="str">
            <v>부전(주)</v>
          </cell>
        </row>
        <row r="193">
          <cell r="C193">
            <v>2584</v>
          </cell>
          <cell r="D193" t="str">
            <v>MB136775A</v>
          </cell>
          <cell r="E193" t="str">
            <v xml:space="preserve"> REINF,ASSIST STRAP</v>
          </cell>
          <cell r="G193">
            <v>1</v>
          </cell>
          <cell r="AZ193" t="str">
            <v>B</v>
          </cell>
          <cell r="BA193" t="str">
            <v>부전(주)</v>
          </cell>
          <cell r="BB193" t="str">
            <v>H50A16K</v>
          </cell>
          <cell r="BD193" t="str">
            <v>K804</v>
          </cell>
          <cell r="BE193" t="str">
            <v>ALL</v>
          </cell>
          <cell r="BI193">
            <v>0</v>
          </cell>
          <cell r="BJ193">
            <v>0</v>
          </cell>
          <cell r="BK193">
            <v>0</v>
          </cell>
          <cell r="BL193">
            <v>0</v>
          </cell>
          <cell r="BM193"/>
          <cell r="BN193"/>
          <cell r="BO193"/>
          <cell r="BP193"/>
          <cell r="BQ193"/>
          <cell r="BR193"/>
          <cell r="BS193"/>
          <cell r="BT193"/>
          <cell r="BU193"/>
          <cell r="BV193"/>
          <cell r="BW193"/>
          <cell r="BX193"/>
          <cell r="BY193"/>
          <cell r="BZ193"/>
          <cell r="CA193"/>
          <cell r="CB193"/>
          <cell r="CC193"/>
          <cell r="CD193"/>
          <cell r="CE193"/>
          <cell r="CF193"/>
          <cell r="CG193"/>
          <cell r="CH193"/>
          <cell r="CI193"/>
          <cell r="CJ193"/>
          <cell r="CK193"/>
        </row>
        <row r="194">
          <cell r="C194">
            <v>6646</v>
          </cell>
          <cell r="D194" t="str">
            <v>MB136775A</v>
          </cell>
          <cell r="E194" t="str">
            <v xml:space="preserve"> REINF,ASSIST STRAP</v>
          </cell>
          <cell r="H194">
            <v>2</v>
          </cell>
          <cell r="J194">
            <v>4</v>
          </cell>
          <cell r="K194">
            <v>4</v>
          </cell>
          <cell r="L194">
            <v>2</v>
          </cell>
          <cell r="M194">
            <v>2</v>
          </cell>
          <cell r="N194">
            <v>2</v>
          </cell>
          <cell r="O194">
            <v>4</v>
          </cell>
          <cell r="P194">
            <v>2</v>
          </cell>
          <cell r="Q194">
            <v>4</v>
          </cell>
          <cell r="S194">
            <v>2</v>
          </cell>
          <cell r="T194">
            <v>2</v>
          </cell>
          <cell r="U194">
            <v>2</v>
          </cell>
          <cell r="V194">
            <v>2</v>
          </cell>
          <cell r="W194">
            <v>2</v>
          </cell>
          <cell r="X194">
            <v>4</v>
          </cell>
          <cell r="Y194">
            <v>2</v>
          </cell>
          <cell r="Z194">
            <v>2</v>
          </cell>
          <cell r="AA194">
            <v>2</v>
          </cell>
          <cell r="AB194">
            <v>2</v>
          </cell>
          <cell r="AC194">
            <v>2</v>
          </cell>
          <cell r="AD194">
            <v>2</v>
          </cell>
          <cell r="AE194">
            <v>4</v>
          </cell>
          <cell r="AF194">
            <v>2</v>
          </cell>
          <cell r="AG194"/>
          <cell r="AH194">
            <v>2</v>
          </cell>
          <cell r="AI194">
            <v>4</v>
          </cell>
          <cell r="AJ194">
            <v>2</v>
          </cell>
          <cell r="AK194">
            <v>4</v>
          </cell>
          <cell r="AL194">
            <v>2</v>
          </cell>
          <cell r="AM194">
            <v>2</v>
          </cell>
          <cell r="AN194">
            <v>2</v>
          </cell>
          <cell r="AO194">
            <v>2</v>
          </cell>
          <cell r="AP194">
            <v>2</v>
          </cell>
          <cell r="AQ194">
            <v>2</v>
          </cell>
          <cell r="AR194">
            <v>4</v>
          </cell>
          <cell r="AS194">
            <v>4</v>
          </cell>
          <cell r="AT194">
            <v>4</v>
          </cell>
          <cell r="AU194">
            <v>2</v>
          </cell>
          <cell r="AV194">
            <v>2</v>
          </cell>
          <cell r="AW194">
            <v>2</v>
          </cell>
          <cell r="AX194">
            <v>2</v>
          </cell>
          <cell r="AY194">
            <v>2</v>
          </cell>
          <cell r="AZ194" t="str">
            <v>B</v>
          </cell>
          <cell r="BA194" t="str">
            <v>부전(주)</v>
          </cell>
          <cell r="BB194" t="str">
            <v>H50A17K</v>
          </cell>
          <cell r="BD194" t="str">
            <v>K804</v>
          </cell>
          <cell r="BI194">
            <v>3570</v>
          </cell>
          <cell r="BJ194">
            <v>920</v>
          </cell>
          <cell r="BK194">
            <v>344</v>
          </cell>
          <cell r="BL194">
            <v>286</v>
          </cell>
          <cell r="BM194"/>
          <cell r="BN194"/>
          <cell r="BO194"/>
          <cell r="BP194"/>
          <cell r="BQ194"/>
          <cell r="BR194"/>
          <cell r="BS194"/>
          <cell r="BT194"/>
          <cell r="BU194"/>
          <cell r="BV194"/>
          <cell r="BW194"/>
          <cell r="BX194"/>
          <cell r="BY194"/>
          <cell r="BZ194"/>
          <cell r="CA194"/>
          <cell r="CB194"/>
          <cell r="CC194"/>
          <cell r="CD194"/>
          <cell r="CE194"/>
          <cell r="CF194"/>
          <cell r="CG194"/>
          <cell r="CH194"/>
          <cell r="CI194"/>
          <cell r="CJ194"/>
        </row>
        <row r="195">
          <cell r="C195">
            <v>2584</v>
          </cell>
          <cell r="D195" t="str">
            <v>MB140467A</v>
          </cell>
          <cell r="E195" t="str">
            <v xml:space="preserve"> COVER PARKING BRAKE </v>
          </cell>
          <cell r="I195">
            <v>1</v>
          </cell>
          <cell r="J195">
            <v>1</v>
          </cell>
          <cell r="K195">
            <v>1</v>
          </cell>
          <cell r="M195">
            <v>1</v>
          </cell>
          <cell r="N195">
            <v>1</v>
          </cell>
          <cell r="O195">
            <v>1</v>
          </cell>
          <cell r="P195">
            <v>1</v>
          </cell>
          <cell r="Q195">
            <v>1</v>
          </cell>
          <cell r="R195">
            <v>1</v>
          </cell>
          <cell r="S195">
            <v>1</v>
          </cell>
          <cell r="T195">
            <v>1</v>
          </cell>
          <cell r="W195">
            <v>1</v>
          </cell>
          <cell r="X195">
            <v>1</v>
          </cell>
          <cell r="AC195">
            <v>1</v>
          </cell>
          <cell r="AD195">
            <v>1</v>
          </cell>
          <cell r="AE195">
            <v>1</v>
          </cell>
          <cell r="AH195">
            <v>1</v>
          </cell>
          <cell r="AI195">
            <v>1</v>
          </cell>
          <cell r="AJ195">
            <v>1</v>
          </cell>
          <cell r="AK195">
            <v>1</v>
          </cell>
          <cell r="AL195">
            <v>1</v>
          </cell>
          <cell r="AM195">
            <v>1</v>
          </cell>
          <cell r="AN195">
            <v>1</v>
          </cell>
          <cell r="AO195">
            <v>1</v>
          </cell>
          <cell r="AQ195">
            <v>1</v>
          </cell>
          <cell r="AR195">
            <v>1</v>
          </cell>
          <cell r="AS195">
            <v>1</v>
          </cell>
          <cell r="AU195">
            <v>1</v>
          </cell>
          <cell r="AW195">
            <v>1</v>
          </cell>
          <cell r="AX195">
            <v>1</v>
          </cell>
          <cell r="AY195">
            <v>1</v>
          </cell>
          <cell r="AZ195" t="str">
            <v>T</v>
          </cell>
          <cell r="BA195" t="str">
            <v>부전(주)</v>
          </cell>
        </row>
        <row r="196">
          <cell r="C196">
            <v>10336</v>
          </cell>
          <cell r="D196" t="str">
            <v>MB156717A</v>
          </cell>
          <cell r="E196" t="str">
            <v xml:space="preserve"> BRKT</v>
          </cell>
          <cell r="F196" t="str">
            <v>ABS(U/S)1추가</v>
          </cell>
          <cell r="G196">
            <v>4</v>
          </cell>
          <cell r="AZ196" t="str">
            <v>B</v>
          </cell>
          <cell r="BA196" t="str">
            <v>부전(주)</v>
          </cell>
          <cell r="BB196" t="str">
            <v>H50A14K</v>
          </cell>
          <cell r="BD196" t="str">
            <v>K804</v>
          </cell>
          <cell r="BE196" t="str">
            <v>ALL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BM196"/>
          <cell r="BN196"/>
          <cell r="BO196"/>
          <cell r="BP196"/>
          <cell r="BQ196"/>
          <cell r="BR196"/>
          <cell r="BS196"/>
          <cell r="BT196"/>
          <cell r="BU196"/>
          <cell r="BV196"/>
          <cell r="BW196"/>
          <cell r="BX196"/>
          <cell r="BY196"/>
          <cell r="BZ196"/>
          <cell r="CA196"/>
          <cell r="CB196"/>
          <cell r="CC196"/>
          <cell r="CD196"/>
          <cell r="CE196"/>
          <cell r="CF196"/>
          <cell r="CG196"/>
          <cell r="CH196"/>
          <cell r="CI196"/>
          <cell r="CJ196"/>
          <cell r="CK196"/>
        </row>
        <row r="197">
          <cell r="C197">
            <v>2584</v>
          </cell>
          <cell r="D197" t="str">
            <v>MB160680</v>
          </cell>
          <cell r="E197" t="str">
            <v xml:space="preserve"> BRKT-DUFFERENTLAL.MTG,LH</v>
          </cell>
          <cell r="I197">
            <v>1</v>
          </cell>
          <cell r="J197">
            <v>1</v>
          </cell>
          <cell r="K197">
            <v>1</v>
          </cell>
          <cell r="M197">
            <v>1</v>
          </cell>
          <cell r="N197">
            <v>1</v>
          </cell>
          <cell r="O197">
            <v>1</v>
          </cell>
          <cell r="P197">
            <v>1</v>
          </cell>
          <cell r="Q197">
            <v>1</v>
          </cell>
          <cell r="R197">
            <v>1</v>
          </cell>
          <cell r="S197">
            <v>1</v>
          </cell>
          <cell r="T197">
            <v>1</v>
          </cell>
          <cell r="W197">
            <v>1</v>
          </cell>
          <cell r="X197">
            <v>1</v>
          </cell>
          <cell r="AC197">
            <v>1</v>
          </cell>
          <cell r="AD197">
            <v>1</v>
          </cell>
          <cell r="AE197">
            <v>1</v>
          </cell>
          <cell r="AH197">
            <v>1</v>
          </cell>
          <cell r="AI197">
            <v>1</v>
          </cell>
          <cell r="AJ197">
            <v>1</v>
          </cell>
          <cell r="AK197">
            <v>1</v>
          </cell>
          <cell r="AL197">
            <v>1</v>
          </cell>
          <cell r="AM197">
            <v>1</v>
          </cell>
          <cell r="AN197">
            <v>1</v>
          </cell>
          <cell r="AO197">
            <v>1</v>
          </cell>
          <cell r="AQ197">
            <v>1</v>
          </cell>
          <cell r="AR197">
            <v>1</v>
          </cell>
          <cell r="AS197">
            <v>1</v>
          </cell>
          <cell r="AU197">
            <v>1</v>
          </cell>
          <cell r="AW197">
            <v>1</v>
          </cell>
          <cell r="AX197">
            <v>1</v>
          </cell>
          <cell r="AY197">
            <v>1</v>
          </cell>
          <cell r="AZ197" t="str">
            <v>T</v>
          </cell>
          <cell r="BA197" t="str">
            <v>부전(주)</v>
          </cell>
        </row>
        <row r="198">
          <cell r="C198">
            <v>3964</v>
          </cell>
          <cell r="D198" t="str">
            <v>MB176223</v>
          </cell>
          <cell r="E198" t="str">
            <v xml:space="preserve"> BRKT(C) (D=20)</v>
          </cell>
          <cell r="J198">
            <v>2</v>
          </cell>
          <cell r="K198">
            <v>2</v>
          </cell>
          <cell r="M198">
            <v>2</v>
          </cell>
          <cell r="N198">
            <v>2</v>
          </cell>
          <cell r="O198">
            <v>2</v>
          </cell>
          <cell r="P198">
            <v>2</v>
          </cell>
          <cell r="Q198">
            <v>2</v>
          </cell>
          <cell r="S198">
            <v>2</v>
          </cell>
          <cell r="T198">
            <v>2</v>
          </cell>
          <cell r="W198">
            <v>2</v>
          </cell>
          <cell r="X198">
            <v>2</v>
          </cell>
          <cell r="AD198">
            <v>2</v>
          </cell>
          <cell r="AE198">
            <v>2</v>
          </cell>
          <cell r="AH198">
            <v>2</v>
          </cell>
          <cell r="AI198">
            <v>2</v>
          </cell>
          <cell r="AJ198">
            <v>2</v>
          </cell>
          <cell r="AK198">
            <v>2</v>
          </cell>
          <cell r="AN198">
            <v>2</v>
          </cell>
          <cell r="AO198">
            <v>2</v>
          </cell>
          <cell r="AQ198">
            <v>2</v>
          </cell>
          <cell r="AR198">
            <v>2</v>
          </cell>
          <cell r="AS198">
            <v>2</v>
          </cell>
          <cell r="AU198">
            <v>2</v>
          </cell>
          <cell r="AW198">
            <v>2</v>
          </cell>
          <cell r="AX198">
            <v>2</v>
          </cell>
          <cell r="AY198">
            <v>2</v>
          </cell>
          <cell r="AZ198" t="str">
            <v>T</v>
          </cell>
          <cell r="BA198" t="str">
            <v>부전(주)</v>
          </cell>
        </row>
        <row r="199">
          <cell r="C199">
            <v>1345</v>
          </cell>
          <cell r="D199" t="str">
            <v>MB194849A</v>
          </cell>
          <cell r="E199" t="str">
            <v xml:space="preserve"> PLATE,WHEEL HOUSE</v>
          </cell>
          <cell r="F199" t="str">
            <v>(내수+972B)(수출 ALL)</v>
          </cell>
          <cell r="J199">
            <v>1</v>
          </cell>
          <cell r="K199">
            <v>1</v>
          </cell>
          <cell r="O199">
            <v>1</v>
          </cell>
          <cell r="Q199">
            <v>1</v>
          </cell>
          <cell r="X199">
            <v>1</v>
          </cell>
          <cell r="AE199">
            <v>1</v>
          </cell>
          <cell r="AI199">
            <v>1</v>
          </cell>
          <cell r="AJ199">
            <v>1</v>
          </cell>
          <cell r="AQ199">
            <v>1</v>
          </cell>
          <cell r="AS199">
            <v>1</v>
          </cell>
          <cell r="AT199">
            <v>1</v>
          </cell>
          <cell r="AZ199" t="str">
            <v>B</v>
          </cell>
          <cell r="BA199" t="str">
            <v>부전(주)</v>
          </cell>
          <cell r="BB199" t="str">
            <v>H50A17K</v>
          </cell>
          <cell r="BD199" t="str">
            <v>K804</v>
          </cell>
          <cell r="BI199">
            <v>868</v>
          </cell>
          <cell r="BJ199">
            <v>2</v>
          </cell>
          <cell r="BK199">
            <v>89</v>
          </cell>
          <cell r="BL199">
            <v>53</v>
          </cell>
          <cell r="BM199"/>
          <cell r="BN199"/>
          <cell r="BO199"/>
          <cell r="BP199"/>
          <cell r="BQ199"/>
          <cell r="BR199"/>
          <cell r="BS199"/>
          <cell r="BT199"/>
          <cell r="BU199"/>
          <cell r="BV199"/>
          <cell r="BW199"/>
          <cell r="BX199"/>
          <cell r="BY199"/>
          <cell r="BZ199"/>
          <cell r="CA199"/>
          <cell r="CB199"/>
          <cell r="CC199"/>
          <cell r="CD199"/>
          <cell r="CE199"/>
          <cell r="CF199"/>
          <cell r="CG199"/>
          <cell r="CH199"/>
          <cell r="CI199"/>
          <cell r="CJ199"/>
          <cell r="CK199"/>
          <cell r="CL199"/>
          <cell r="CM199"/>
          <cell r="CN199"/>
          <cell r="CO199"/>
          <cell r="CP199"/>
          <cell r="CQ199"/>
        </row>
        <row r="200">
          <cell r="C200">
            <v>2459</v>
          </cell>
          <cell r="D200" t="str">
            <v>MB222438</v>
          </cell>
          <cell r="E200" t="str">
            <v xml:space="preserve"> BRKT</v>
          </cell>
          <cell r="H200">
            <v>1</v>
          </cell>
          <cell r="I200">
            <v>1</v>
          </cell>
          <cell r="J200">
            <v>1</v>
          </cell>
          <cell r="K200">
            <v>1</v>
          </cell>
          <cell r="L200">
            <v>1</v>
          </cell>
          <cell r="M200">
            <v>1</v>
          </cell>
          <cell r="N200">
            <v>1</v>
          </cell>
          <cell r="O200">
            <v>1</v>
          </cell>
          <cell r="P200">
            <v>1</v>
          </cell>
          <cell r="Q200">
            <v>1</v>
          </cell>
          <cell r="R200">
            <v>1</v>
          </cell>
          <cell r="S200">
            <v>1</v>
          </cell>
          <cell r="T200">
            <v>1</v>
          </cell>
          <cell r="U200">
            <v>1</v>
          </cell>
          <cell r="V200">
            <v>1</v>
          </cell>
          <cell r="W200">
            <v>1</v>
          </cell>
          <cell r="X200">
            <v>1</v>
          </cell>
          <cell r="Y200">
            <v>1</v>
          </cell>
          <cell r="Z200">
            <v>1</v>
          </cell>
          <cell r="AA200">
            <v>1</v>
          </cell>
          <cell r="AB200">
            <v>1</v>
          </cell>
          <cell r="AC200">
            <v>1</v>
          </cell>
          <cell r="AD200">
            <v>1</v>
          </cell>
          <cell r="AE200">
            <v>1</v>
          </cell>
          <cell r="AF200">
            <v>1</v>
          </cell>
          <cell r="AG200">
            <v>1</v>
          </cell>
          <cell r="AH200">
            <v>1</v>
          </cell>
          <cell r="AI200"/>
          <cell r="AJ200">
            <v>1</v>
          </cell>
          <cell r="AK200"/>
          <cell r="AL200">
            <v>1</v>
          </cell>
          <cell r="AM200">
            <v>1</v>
          </cell>
          <cell r="AO200">
            <v>1</v>
          </cell>
          <cell r="AQ200">
            <v>1</v>
          </cell>
          <cell r="AS200">
            <v>1</v>
          </cell>
          <cell r="AU200">
            <v>1</v>
          </cell>
          <cell r="AV200">
            <v>1</v>
          </cell>
          <cell r="AZ200" t="str">
            <v>B</v>
          </cell>
          <cell r="BA200" t="str">
            <v>부전(주)</v>
          </cell>
          <cell r="BB200" t="str">
            <v>H50A14K</v>
          </cell>
          <cell r="BD200" t="str">
            <v>K804</v>
          </cell>
          <cell r="BE200" t="str">
            <v>V6</v>
          </cell>
          <cell r="BI200">
            <v>937</v>
          </cell>
          <cell r="BJ200">
            <v>997</v>
          </cell>
          <cell r="BK200">
            <v>57</v>
          </cell>
          <cell r="BL200">
            <v>56</v>
          </cell>
          <cell r="BM200"/>
          <cell r="BN200"/>
          <cell r="BO200"/>
          <cell r="BP200"/>
          <cell r="BQ200"/>
          <cell r="BR200"/>
          <cell r="BS200"/>
          <cell r="BT200"/>
          <cell r="BU200"/>
          <cell r="BV200"/>
          <cell r="BW200"/>
          <cell r="BX200"/>
          <cell r="BY200"/>
          <cell r="BZ200"/>
          <cell r="CA200"/>
          <cell r="CB200"/>
          <cell r="CC200"/>
          <cell r="CD200"/>
          <cell r="CE200"/>
          <cell r="CF200"/>
          <cell r="CG200"/>
          <cell r="CH200"/>
          <cell r="CI200"/>
          <cell r="CJ200"/>
          <cell r="CK200"/>
        </row>
        <row r="201">
          <cell r="C201">
            <v>2584</v>
          </cell>
          <cell r="D201" t="str">
            <v>MB227637</v>
          </cell>
          <cell r="E201" t="str">
            <v xml:space="preserve"> REINF,F/DR WDO SASH LH</v>
          </cell>
          <cell r="G201">
            <v>1</v>
          </cell>
          <cell r="AZ201" t="str">
            <v>B</v>
          </cell>
          <cell r="BA201" t="str">
            <v>부전(주)</v>
          </cell>
          <cell r="BB201" t="str">
            <v>H50B31K</v>
          </cell>
          <cell r="BD201" t="str">
            <v>K804</v>
          </cell>
          <cell r="BE201" t="str">
            <v>ALL</v>
          </cell>
          <cell r="BI201">
            <v>0</v>
          </cell>
          <cell r="BJ201">
            <v>0</v>
          </cell>
          <cell r="BK201">
            <v>0</v>
          </cell>
          <cell r="BL201">
            <v>0</v>
          </cell>
          <cell r="BM201"/>
          <cell r="BN201"/>
          <cell r="BO201"/>
          <cell r="BP201"/>
          <cell r="BQ201"/>
          <cell r="BR201"/>
          <cell r="BS201"/>
          <cell r="BT201"/>
          <cell r="BU201"/>
          <cell r="BV201"/>
          <cell r="BW201"/>
          <cell r="BX201"/>
          <cell r="BY201"/>
          <cell r="BZ201"/>
          <cell r="CA201"/>
          <cell r="CB201"/>
          <cell r="CC201"/>
          <cell r="CD201"/>
          <cell r="CE201"/>
          <cell r="CF201"/>
          <cell r="CG201"/>
          <cell r="CH201"/>
          <cell r="CI201"/>
          <cell r="CJ201"/>
          <cell r="CK201"/>
        </row>
        <row r="202">
          <cell r="C202">
            <v>2584</v>
          </cell>
          <cell r="D202" t="str">
            <v>MB227638</v>
          </cell>
          <cell r="E202" t="str">
            <v xml:space="preserve"> REINF,F/DR WDO SASH RH</v>
          </cell>
          <cell r="G202">
            <v>1</v>
          </cell>
          <cell r="AZ202" t="str">
            <v>B</v>
          </cell>
          <cell r="BA202" t="str">
            <v>부전(주)</v>
          </cell>
          <cell r="BB202" t="str">
            <v>H50B31K</v>
          </cell>
          <cell r="BD202" t="str">
            <v>K804</v>
          </cell>
          <cell r="BE202" t="str">
            <v>ALL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BM202"/>
          <cell r="BN202"/>
          <cell r="BO202"/>
          <cell r="BP202"/>
          <cell r="BQ202"/>
          <cell r="BR202"/>
          <cell r="BS202"/>
          <cell r="BT202"/>
          <cell r="BU202"/>
          <cell r="BV202"/>
          <cell r="BW202"/>
          <cell r="BX202"/>
          <cell r="BY202"/>
          <cell r="BZ202"/>
          <cell r="CA202"/>
          <cell r="CB202"/>
          <cell r="CC202"/>
          <cell r="CD202"/>
          <cell r="CE202"/>
          <cell r="CF202"/>
          <cell r="CG202"/>
          <cell r="CH202"/>
          <cell r="CI202"/>
          <cell r="CJ202"/>
          <cell r="CK202"/>
        </row>
        <row r="203">
          <cell r="C203">
            <v>2584</v>
          </cell>
          <cell r="D203" t="str">
            <v>MB227669</v>
          </cell>
          <cell r="E203" t="str">
            <v xml:space="preserve"> REINF,RR LWR SASH LH</v>
          </cell>
          <cell r="G203">
            <v>1</v>
          </cell>
          <cell r="AZ203" t="str">
            <v>B</v>
          </cell>
          <cell r="BA203" t="str">
            <v>부전(주)</v>
          </cell>
          <cell r="BB203" t="str">
            <v>H50B31K</v>
          </cell>
          <cell r="BD203" t="str">
            <v>K804</v>
          </cell>
          <cell r="BE203" t="str">
            <v>ALL</v>
          </cell>
          <cell r="BI203">
            <v>0</v>
          </cell>
          <cell r="BJ203">
            <v>0</v>
          </cell>
          <cell r="BK203">
            <v>0</v>
          </cell>
          <cell r="BL203">
            <v>0</v>
          </cell>
          <cell r="BM203"/>
          <cell r="BN203"/>
          <cell r="BO203"/>
          <cell r="BP203"/>
          <cell r="BQ203"/>
          <cell r="BR203"/>
          <cell r="BS203"/>
          <cell r="BT203"/>
          <cell r="BU203"/>
          <cell r="BV203"/>
          <cell r="BW203"/>
          <cell r="BX203"/>
          <cell r="BY203"/>
          <cell r="BZ203"/>
          <cell r="CA203"/>
          <cell r="CB203"/>
          <cell r="CC203"/>
          <cell r="CD203"/>
          <cell r="CE203"/>
          <cell r="CF203"/>
          <cell r="CG203"/>
          <cell r="CH203"/>
          <cell r="CI203"/>
          <cell r="CJ203"/>
          <cell r="CK203"/>
        </row>
        <row r="204">
          <cell r="C204">
            <v>2584</v>
          </cell>
          <cell r="D204" t="str">
            <v>MB227670</v>
          </cell>
          <cell r="E204" t="str">
            <v xml:space="preserve"> REINF,RR LWR SASH RH</v>
          </cell>
          <cell r="G204">
            <v>1</v>
          </cell>
          <cell r="AZ204" t="str">
            <v>B</v>
          </cell>
          <cell r="BA204" t="str">
            <v>부전(주)</v>
          </cell>
          <cell r="BB204" t="str">
            <v>H50B31K</v>
          </cell>
          <cell r="BD204" t="str">
            <v>K804</v>
          </cell>
          <cell r="BE204" t="str">
            <v>ALL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  <cell r="BM204"/>
          <cell r="BN204"/>
          <cell r="BO204"/>
          <cell r="BP204"/>
          <cell r="BQ204"/>
          <cell r="BR204"/>
          <cell r="BS204"/>
          <cell r="BT204"/>
          <cell r="BU204"/>
          <cell r="BV204"/>
          <cell r="BW204"/>
          <cell r="BX204"/>
          <cell r="BY204"/>
          <cell r="BZ204"/>
          <cell r="CA204"/>
          <cell r="CB204"/>
          <cell r="CC204"/>
          <cell r="CD204"/>
          <cell r="CE204"/>
          <cell r="CF204"/>
          <cell r="CG204"/>
          <cell r="CH204"/>
          <cell r="CI204"/>
          <cell r="CJ204"/>
          <cell r="CK204"/>
        </row>
        <row r="205">
          <cell r="C205">
            <v>3774</v>
          </cell>
          <cell r="D205" t="str">
            <v>MB227785</v>
          </cell>
          <cell r="E205" t="str">
            <v xml:space="preserve"> BRKT,SASH VENT WDO UPPER</v>
          </cell>
          <cell r="I205">
            <v>2</v>
          </cell>
          <cell r="J205">
            <v>2</v>
          </cell>
          <cell r="K205">
            <v>2</v>
          </cell>
          <cell r="O205">
            <v>2</v>
          </cell>
          <cell r="Q205">
            <v>2</v>
          </cell>
          <cell r="S205">
            <v>2</v>
          </cell>
          <cell r="T205">
            <v>2</v>
          </cell>
          <cell r="V205">
            <v>2</v>
          </cell>
          <cell r="X205">
            <v>2</v>
          </cell>
          <cell r="Y205">
            <v>2</v>
          </cell>
          <cell r="Z205">
            <v>2</v>
          </cell>
          <cell r="AA205">
            <v>2</v>
          </cell>
          <cell r="AE205">
            <v>2</v>
          </cell>
          <cell r="AG205">
            <v>2</v>
          </cell>
          <cell r="AI205">
            <v>2</v>
          </cell>
          <cell r="AJ205">
            <v>2</v>
          </cell>
          <cell r="AK205">
            <v>2</v>
          </cell>
          <cell r="AN205">
            <v>2</v>
          </cell>
          <cell r="AQ205">
            <v>2</v>
          </cell>
          <cell r="AS205">
            <v>2</v>
          </cell>
          <cell r="AT205">
            <v>2</v>
          </cell>
          <cell r="AU205">
            <v>2</v>
          </cell>
          <cell r="AV205">
            <v>2</v>
          </cell>
          <cell r="AX205">
            <v>2</v>
          </cell>
          <cell r="AY205">
            <v>2</v>
          </cell>
          <cell r="AZ205" t="str">
            <v>B</v>
          </cell>
          <cell r="BA205" t="str">
            <v>부전(주)</v>
          </cell>
          <cell r="BB205" t="str">
            <v>H50B32K</v>
          </cell>
          <cell r="BD205" t="str">
            <v>K804</v>
          </cell>
          <cell r="BI205">
            <v>1776</v>
          </cell>
          <cell r="BJ205">
            <v>916</v>
          </cell>
          <cell r="BK205">
            <v>194</v>
          </cell>
          <cell r="BL205">
            <v>176</v>
          </cell>
          <cell r="BM205"/>
          <cell r="BN205"/>
          <cell r="BO205"/>
          <cell r="BP205"/>
          <cell r="BQ205"/>
          <cell r="BR205"/>
          <cell r="BS205"/>
          <cell r="BT205"/>
          <cell r="BU205"/>
          <cell r="BV205"/>
          <cell r="BW205"/>
          <cell r="BX205"/>
          <cell r="BY205"/>
          <cell r="BZ205"/>
          <cell r="CA205"/>
          <cell r="CB205"/>
          <cell r="CC205"/>
          <cell r="CD205"/>
          <cell r="CE205"/>
          <cell r="CF205"/>
          <cell r="CG205"/>
          <cell r="CH205"/>
          <cell r="CI205"/>
          <cell r="CJ205"/>
          <cell r="CK205"/>
          <cell r="CL205"/>
          <cell r="CM205"/>
          <cell r="CN205"/>
          <cell r="CO205"/>
          <cell r="CP205"/>
          <cell r="CQ205"/>
        </row>
        <row r="206">
          <cell r="C206">
            <v>5168</v>
          </cell>
          <cell r="D206" t="str">
            <v>MB227785</v>
          </cell>
          <cell r="E206" t="str">
            <v xml:space="preserve"> BRKT,SASH VENT WDO UPPER</v>
          </cell>
          <cell r="G206">
            <v>2</v>
          </cell>
          <cell r="AZ206" t="str">
            <v>B</v>
          </cell>
          <cell r="BA206" t="str">
            <v>부전(주)</v>
          </cell>
          <cell r="BB206" t="str">
            <v>H50B31K</v>
          </cell>
          <cell r="BD206" t="str">
            <v>K804</v>
          </cell>
          <cell r="BE206" t="str">
            <v>ALL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BM206"/>
          <cell r="BN206"/>
          <cell r="BO206"/>
          <cell r="BP206"/>
          <cell r="BQ206"/>
          <cell r="BR206"/>
          <cell r="BS206"/>
          <cell r="BT206"/>
          <cell r="BU206"/>
          <cell r="BV206"/>
          <cell r="BW206"/>
          <cell r="BX206"/>
          <cell r="BY206"/>
          <cell r="BZ206"/>
          <cell r="CA206"/>
          <cell r="CB206"/>
          <cell r="CC206"/>
          <cell r="CD206"/>
          <cell r="CE206"/>
          <cell r="CF206"/>
          <cell r="CG206"/>
          <cell r="CH206"/>
          <cell r="CI206"/>
          <cell r="CJ206"/>
          <cell r="CK206"/>
        </row>
        <row r="207">
          <cell r="C207">
            <v>5168</v>
          </cell>
          <cell r="D207" t="str">
            <v>MB227786A</v>
          </cell>
          <cell r="E207" t="str">
            <v xml:space="preserve"> BRKT,SASH VENT WDO LOWER</v>
          </cell>
          <cell r="G207">
            <v>2</v>
          </cell>
          <cell r="AZ207" t="str">
            <v>B</v>
          </cell>
          <cell r="BA207" t="str">
            <v>부전(주)</v>
          </cell>
          <cell r="BB207" t="str">
            <v>H50B31K</v>
          </cell>
          <cell r="BD207" t="str">
            <v>K804</v>
          </cell>
          <cell r="BE207" t="str">
            <v>ALL</v>
          </cell>
          <cell r="BI207">
            <v>0</v>
          </cell>
          <cell r="BJ207">
            <v>0</v>
          </cell>
          <cell r="BK207">
            <v>0</v>
          </cell>
          <cell r="BL207">
            <v>0</v>
          </cell>
          <cell r="BM207"/>
          <cell r="BN207"/>
          <cell r="BO207"/>
          <cell r="BP207"/>
          <cell r="BQ207"/>
          <cell r="BR207"/>
          <cell r="BS207"/>
          <cell r="BT207"/>
          <cell r="BU207"/>
          <cell r="BV207"/>
          <cell r="BW207"/>
          <cell r="BX207"/>
          <cell r="BY207"/>
          <cell r="BZ207"/>
          <cell r="CA207"/>
          <cell r="CB207"/>
          <cell r="CC207"/>
          <cell r="CD207"/>
          <cell r="CE207"/>
          <cell r="CF207"/>
          <cell r="CG207"/>
          <cell r="CH207"/>
          <cell r="CI207"/>
          <cell r="CJ207"/>
          <cell r="CK207"/>
        </row>
        <row r="208">
          <cell r="C208">
            <v>1361</v>
          </cell>
          <cell r="D208" t="str">
            <v>MB238307A</v>
          </cell>
          <cell r="E208" t="str">
            <v xml:space="preserve"> BRKT</v>
          </cell>
          <cell r="K208">
            <v>1</v>
          </cell>
          <cell r="M208">
            <v>1</v>
          </cell>
          <cell r="N208">
            <v>1</v>
          </cell>
          <cell r="O208">
            <v>1</v>
          </cell>
          <cell r="P208">
            <v>1</v>
          </cell>
          <cell r="Q208">
            <v>1</v>
          </cell>
          <cell r="T208">
            <v>1</v>
          </cell>
          <cell r="Z208">
            <v>1</v>
          </cell>
          <cell r="AC208">
            <v>1</v>
          </cell>
          <cell r="AD208">
            <v>1</v>
          </cell>
          <cell r="AM208">
            <v>1</v>
          </cell>
          <cell r="AO208">
            <v>1</v>
          </cell>
          <cell r="AQ208">
            <v>1</v>
          </cell>
          <cell r="AV208">
            <v>1</v>
          </cell>
          <cell r="AZ208" t="str">
            <v>T</v>
          </cell>
          <cell r="BA208" t="str">
            <v>부전(주)</v>
          </cell>
          <cell r="BB208" t="str">
            <v>H50C25K</v>
          </cell>
          <cell r="BD208" t="str">
            <v>K804</v>
          </cell>
          <cell r="BE208" t="str">
            <v>TC</v>
          </cell>
          <cell r="BI208" t="e">
            <v>#REF!</v>
          </cell>
          <cell r="BJ208" t="e">
            <v>#REF!</v>
          </cell>
          <cell r="BK208" t="e">
            <v>#REF!</v>
          </cell>
          <cell r="BL208" t="e">
            <v>#REF!</v>
          </cell>
          <cell r="BM208"/>
          <cell r="BN208"/>
          <cell r="BO208"/>
          <cell r="BP208"/>
          <cell r="BQ208"/>
          <cell r="BR208"/>
          <cell r="BS208"/>
          <cell r="BT208"/>
          <cell r="BU208"/>
          <cell r="BV208"/>
          <cell r="BW208"/>
          <cell r="BX208"/>
          <cell r="BY208"/>
          <cell r="BZ208"/>
          <cell r="CA208"/>
          <cell r="CB208"/>
          <cell r="CC208"/>
          <cell r="CD208"/>
          <cell r="CE208"/>
          <cell r="CF208"/>
          <cell r="CG208"/>
          <cell r="CH208"/>
          <cell r="CI208"/>
          <cell r="CJ208"/>
          <cell r="CK208"/>
          <cell r="CL208"/>
          <cell r="CM208"/>
          <cell r="CN208"/>
          <cell r="CO208"/>
          <cell r="CP208"/>
        </row>
        <row r="209">
          <cell r="C209">
            <v>2583</v>
          </cell>
          <cell r="D209" t="str">
            <v>MB238426</v>
          </cell>
          <cell r="E209" t="str">
            <v xml:space="preserve"> SUPPORT-BRAKE HOSE,LH</v>
          </cell>
          <cell r="I209">
            <v>1</v>
          </cell>
          <cell r="J209">
            <v>1</v>
          </cell>
          <cell r="K209">
            <v>1</v>
          </cell>
          <cell r="M209">
            <v>1</v>
          </cell>
          <cell r="N209">
            <v>1</v>
          </cell>
          <cell r="O209">
            <v>1</v>
          </cell>
          <cell r="P209">
            <v>1</v>
          </cell>
          <cell r="Q209">
            <v>1</v>
          </cell>
          <cell r="R209">
            <v>1</v>
          </cell>
          <cell r="S209">
            <v>1</v>
          </cell>
          <cell r="T209">
            <v>1</v>
          </cell>
          <cell r="W209">
            <v>1</v>
          </cell>
          <cell r="X209">
            <v>1</v>
          </cell>
          <cell r="AC209">
            <v>1</v>
          </cell>
          <cell r="AD209">
            <v>1</v>
          </cell>
          <cell r="AE209">
            <v>1</v>
          </cell>
          <cell r="AH209">
            <v>1</v>
          </cell>
          <cell r="AI209">
            <v>1</v>
          </cell>
          <cell r="AJ209">
            <v>1</v>
          </cell>
          <cell r="AL209">
            <v>1</v>
          </cell>
          <cell r="AM209">
            <v>1</v>
          </cell>
          <cell r="AN209">
            <v>1</v>
          </cell>
          <cell r="AO209">
            <v>1</v>
          </cell>
          <cell r="AQ209">
            <v>1</v>
          </cell>
          <cell r="AR209">
            <v>1</v>
          </cell>
          <cell r="AS209">
            <v>1</v>
          </cell>
          <cell r="AU209">
            <v>1</v>
          </cell>
          <cell r="AW209">
            <v>1</v>
          </cell>
          <cell r="AX209">
            <v>1</v>
          </cell>
          <cell r="AY209">
            <v>1</v>
          </cell>
          <cell r="AZ209" t="str">
            <v>T</v>
          </cell>
          <cell r="BA209" t="str">
            <v>부전(주)</v>
          </cell>
        </row>
        <row r="210">
          <cell r="C210">
            <v>2583</v>
          </cell>
          <cell r="D210" t="str">
            <v>MB238427</v>
          </cell>
          <cell r="E210" t="str">
            <v xml:space="preserve"> SUPPURT-BRAKE HOSE,RH</v>
          </cell>
          <cell r="I210">
            <v>1</v>
          </cell>
          <cell r="J210">
            <v>1</v>
          </cell>
          <cell r="K210">
            <v>1</v>
          </cell>
          <cell r="M210">
            <v>1</v>
          </cell>
          <cell r="N210">
            <v>1</v>
          </cell>
          <cell r="O210">
            <v>1</v>
          </cell>
          <cell r="P210">
            <v>1</v>
          </cell>
          <cell r="Q210">
            <v>1</v>
          </cell>
          <cell r="R210">
            <v>1</v>
          </cell>
          <cell r="S210">
            <v>1</v>
          </cell>
          <cell r="T210">
            <v>1</v>
          </cell>
          <cell r="W210">
            <v>1</v>
          </cell>
          <cell r="X210">
            <v>1</v>
          </cell>
          <cell r="AC210">
            <v>1</v>
          </cell>
          <cell r="AD210">
            <v>1</v>
          </cell>
          <cell r="AE210">
            <v>1</v>
          </cell>
          <cell r="AH210">
            <v>1</v>
          </cell>
          <cell r="AI210">
            <v>1</v>
          </cell>
          <cell r="AJ210">
            <v>1</v>
          </cell>
          <cell r="AL210">
            <v>1</v>
          </cell>
          <cell r="AM210">
            <v>1</v>
          </cell>
          <cell r="AN210">
            <v>1</v>
          </cell>
          <cell r="AO210">
            <v>1</v>
          </cell>
          <cell r="AQ210">
            <v>1</v>
          </cell>
          <cell r="AR210">
            <v>1</v>
          </cell>
          <cell r="AS210">
            <v>1</v>
          </cell>
          <cell r="AU210">
            <v>1</v>
          </cell>
          <cell r="AW210">
            <v>1</v>
          </cell>
          <cell r="AX210">
            <v>1</v>
          </cell>
          <cell r="AY210">
            <v>1</v>
          </cell>
          <cell r="AZ210" t="str">
            <v>T</v>
          </cell>
          <cell r="BA210" t="str">
            <v>부전(주)</v>
          </cell>
        </row>
        <row r="211">
          <cell r="C211" t="str">
            <v>☆</v>
          </cell>
          <cell r="D211" t="str">
            <v>MB239877A</v>
          </cell>
          <cell r="E211" t="str">
            <v xml:space="preserve"> BRKT - BLOWER</v>
          </cell>
          <cell r="F211" t="str">
            <v>유상 사급</v>
          </cell>
          <cell r="AZ211" t="str">
            <v>B</v>
          </cell>
          <cell r="BA211" t="str">
            <v>부전(주)</v>
          </cell>
        </row>
        <row r="212">
          <cell r="C212">
            <v>2584</v>
          </cell>
          <cell r="D212" t="str">
            <v>MB239886A</v>
          </cell>
          <cell r="E212" t="str">
            <v xml:space="preserve"> BRKT,BLOWER B RH</v>
          </cell>
          <cell r="G212">
            <v>1</v>
          </cell>
          <cell r="AZ212" t="str">
            <v>B</v>
          </cell>
          <cell r="BA212" t="str">
            <v>부전(주)</v>
          </cell>
          <cell r="BB212" t="str">
            <v>H50A18K</v>
          </cell>
          <cell r="BD212" t="str">
            <v>K804</v>
          </cell>
          <cell r="BE212" t="str">
            <v>ALL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/>
          <cell r="BN212"/>
          <cell r="BO212"/>
          <cell r="BP212"/>
          <cell r="BQ212"/>
          <cell r="BR212"/>
          <cell r="BS212"/>
          <cell r="BT212"/>
          <cell r="BU212"/>
          <cell r="BV212"/>
          <cell r="BW212"/>
          <cell r="BX212"/>
          <cell r="BY212"/>
          <cell r="BZ212"/>
          <cell r="CA212"/>
          <cell r="CB212"/>
          <cell r="CC212"/>
          <cell r="CD212"/>
          <cell r="CE212"/>
          <cell r="CF212"/>
          <cell r="CG212"/>
          <cell r="CH212"/>
          <cell r="CI212"/>
          <cell r="CJ212"/>
          <cell r="CK212"/>
        </row>
        <row r="213">
          <cell r="C213">
            <v>0</v>
          </cell>
          <cell r="D213" t="str">
            <v>MB242121A</v>
          </cell>
          <cell r="E213" t="str">
            <v xml:space="preserve"> SEAT,U.BOLT</v>
          </cell>
          <cell r="AZ213" t="str">
            <v>T</v>
          </cell>
          <cell r="BA213" t="str">
            <v>부전(주)</v>
          </cell>
        </row>
        <row r="214">
          <cell r="C214">
            <v>2584</v>
          </cell>
          <cell r="D214" t="str">
            <v>MB243479A</v>
          </cell>
          <cell r="E214" t="str">
            <v xml:space="preserve"> PLATE,STOPPER</v>
          </cell>
          <cell r="F214" t="str">
            <v>-431B</v>
          </cell>
          <cell r="H214">
            <v>1</v>
          </cell>
          <cell r="I214">
            <v>1</v>
          </cell>
          <cell r="J214">
            <v>1</v>
          </cell>
          <cell r="K214">
            <v>1</v>
          </cell>
          <cell r="L214">
            <v>1</v>
          </cell>
          <cell r="M214">
            <v>1</v>
          </cell>
          <cell r="N214">
            <v>1</v>
          </cell>
          <cell r="O214">
            <v>1</v>
          </cell>
          <cell r="P214">
            <v>1</v>
          </cell>
          <cell r="Q214">
            <v>1</v>
          </cell>
          <cell r="R214">
            <v>1</v>
          </cell>
          <cell r="S214">
            <v>1</v>
          </cell>
          <cell r="T214">
            <v>1</v>
          </cell>
          <cell r="U214">
            <v>1</v>
          </cell>
          <cell r="V214">
            <v>1</v>
          </cell>
          <cell r="X214">
            <v>1</v>
          </cell>
          <cell r="Y214">
            <v>1</v>
          </cell>
          <cell r="Z214">
            <v>1</v>
          </cell>
          <cell r="AA214">
            <v>1</v>
          </cell>
          <cell r="AB214">
            <v>1</v>
          </cell>
          <cell r="AC214">
            <v>1</v>
          </cell>
          <cell r="AD214">
            <v>1</v>
          </cell>
          <cell r="AE214">
            <v>1</v>
          </cell>
          <cell r="AF214">
            <v>1</v>
          </cell>
          <cell r="AG214">
            <v>1</v>
          </cell>
          <cell r="AH214">
            <v>1</v>
          </cell>
          <cell r="AI214">
            <v>1</v>
          </cell>
          <cell r="AJ214">
            <v>1</v>
          </cell>
          <cell r="AK214">
            <v>1</v>
          </cell>
          <cell r="AL214">
            <v>1</v>
          </cell>
          <cell r="AM214">
            <v>1</v>
          </cell>
          <cell r="AN214">
            <v>1</v>
          </cell>
          <cell r="AO214">
            <v>1</v>
          </cell>
          <cell r="AP214">
            <v>1</v>
          </cell>
          <cell r="AQ214">
            <v>1</v>
          </cell>
          <cell r="AR214">
            <v>1</v>
          </cell>
          <cell r="AS214">
            <v>1</v>
          </cell>
          <cell r="AT214">
            <v>1</v>
          </cell>
          <cell r="AU214">
            <v>1</v>
          </cell>
          <cell r="AV214">
            <v>1</v>
          </cell>
          <cell r="AW214">
            <v>1</v>
          </cell>
          <cell r="AX214">
            <v>1</v>
          </cell>
          <cell r="AY214">
            <v>1</v>
          </cell>
          <cell r="AZ214" t="str">
            <v>B</v>
          </cell>
          <cell r="BA214" t="str">
            <v>부전(주)</v>
          </cell>
          <cell r="BB214" t="str">
            <v>H50A13K</v>
          </cell>
          <cell r="BD214" t="str">
            <v>K804</v>
          </cell>
          <cell r="BE214" t="str">
            <v>ALL</v>
          </cell>
          <cell r="BI214">
            <v>937</v>
          </cell>
          <cell r="BJ214">
            <v>997</v>
          </cell>
          <cell r="BK214">
            <v>118</v>
          </cell>
          <cell r="BL214">
            <v>102</v>
          </cell>
          <cell r="BM214"/>
          <cell r="BN214"/>
          <cell r="BO214"/>
          <cell r="BP214"/>
          <cell r="BQ214"/>
          <cell r="BR214"/>
          <cell r="BS214"/>
          <cell r="BT214"/>
          <cell r="BU214"/>
          <cell r="BV214"/>
          <cell r="BW214"/>
          <cell r="BX214"/>
          <cell r="BY214"/>
          <cell r="BZ214"/>
          <cell r="CA214"/>
          <cell r="CB214"/>
          <cell r="CC214"/>
          <cell r="CD214"/>
          <cell r="CE214"/>
          <cell r="CF214"/>
          <cell r="CG214"/>
          <cell r="CH214"/>
          <cell r="CI214"/>
          <cell r="CJ214"/>
          <cell r="CK214"/>
        </row>
        <row r="215">
          <cell r="C215">
            <v>2584</v>
          </cell>
          <cell r="D215" t="str">
            <v>MB244416A</v>
          </cell>
          <cell r="E215" t="str">
            <v xml:space="preserve"> STRIKER</v>
          </cell>
          <cell r="I215">
            <v>1</v>
          </cell>
          <cell r="J215">
            <v>1</v>
          </cell>
          <cell r="K215">
            <v>1</v>
          </cell>
          <cell r="M215">
            <v>1</v>
          </cell>
          <cell r="N215">
            <v>1</v>
          </cell>
          <cell r="O215">
            <v>1</v>
          </cell>
          <cell r="P215">
            <v>1</v>
          </cell>
          <cell r="Q215">
            <v>1</v>
          </cell>
          <cell r="R215">
            <v>1</v>
          </cell>
          <cell r="S215">
            <v>1</v>
          </cell>
          <cell r="T215">
            <v>1</v>
          </cell>
          <cell r="W215">
            <v>1</v>
          </cell>
          <cell r="X215">
            <v>1</v>
          </cell>
          <cell r="AC215">
            <v>1</v>
          </cell>
          <cell r="AD215">
            <v>1</v>
          </cell>
          <cell r="AE215">
            <v>1</v>
          </cell>
          <cell r="AH215">
            <v>1</v>
          </cell>
          <cell r="AI215">
            <v>1</v>
          </cell>
          <cell r="AJ215">
            <v>1</v>
          </cell>
          <cell r="AK215">
            <v>1</v>
          </cell>
          <cell r="AL215">
            <v>1</v>
          </cell>
          <cell r="AM215">
            <v>1</v>
          </cell>
          <cell r="AN215">
            <v>1</v>
          </cell>
          <cell r="AO215">
            <v>1</v>
          </cell>
          <cell r="AQ215">
            <v>1</v>
          </cell>
          <cell r="AR215">
            <v>1</v>
          </cell>
          <cell r="AS215">
            <v>1</v>
          </cell>
          <cell r="AU215">
            <v>1</v>
          </cell>
          <cell r="AW215">
            <v>1</v>
          </cell>
          <cell r="AX215">
            <v>1</v>
          </cell>
          <cell r="AY215">
            <v>1</v>
          </cell>
          <cell r="AZ215" t="str">
            <v>T</v>
          </cell>
          <cell r="BA215" t="str">
            <v>부전(주)</v>
          </cell>
        </row>
        <row r="216">
          <cell r="C216">
            <v>1676</v>
          </cell>
          <cell r="D216" t="str">
            <v>MB247268A</v>
          </cell>
          <cell r="E216" t="str">
            <v xml:space="preserve"> BRKT</v>
          </cell>
          <cell r="I216">
            <v>1</v>
          </cell>
          <cell r="J216">
            <v>1</v>
          </cell>
          <cell r="K216">
            <v>1</v>
          </cell>
          <cell r="R216">
            <v>1</v>
          </cell>
          <cell r="S216">
            <v>1</v>
          </cell>
          <cell r="T216">
            <v>1</v>
          </cell>
          <cell r="AC216">
            <v>1</v>
          </cell>
          <cell r="AJ216">
            <v>1</v>
          </cell>
          <cell r="AK216">
            <v>1</v>
          </cell>
          <cell r="AL216">
            <v>1</v>
          </cell>
          <cell r="AM216">
            <v>1</v>
          </cell>
          <cell r="AQ216">
            <v>1</v>
          </cell>
          <cell r="AU216">
            <v>1</v>
          </cell>
          <cell r="AY216">
            <v>1</v>
          </cell>
          <cell r="AZ216" t="str">
            <v>T</v>
          </cell>
          <cell r="BA216" t="str">
            <v>부전(주)</v>
          </cell>
        </row>
        <row r="217">
          <cell r="C217">
            <v>2584</v>
          </cell>
          <cell r="D217" t="str">
            <v>MB250036A</v>
          </cell>
          <cell r="E217" t="str">
            <v xml:space="preserve"> PLATE,NUT</v>
          </cell>
          <cell r="G217">
            <v>1</v>
          </cell>
          <cell r="AZ217" t="str">
            <v>B</v>
          </cell>
          <cell r="BA217" t="str">
            <v>부전(주)</v>
          </cell>
          <cell r="BB217" t="str">
            <v>H50A11K</v>
          </cell>
          <cell r="BD217" t="str">
            <v>K804</v>
          </cell>
          <cell r="BE217" t="str">
            <v>ALL</v>
          </cell>
          <cell r="BI217">
            <v>0</v>
          </cell>
          <cell r="BJ217">
            <v>0</v>
          </cell>
          <cell r="BK217">
            <v>0</v>
          </cell>
          <cell r="BL217">
            <v>0</v>
          </cell>
          <cell r="BM217"/>
          <cell r="BN217"/>
          <cell r="BO217"/>
          <cell r="BP217"/>
          <cell r="BQ217"/>
          <cell r="BR217"/>
          <cell r="BS217"/>
          <cell r="BT217"/>
          <cell r="BU217"/>
          <cell r="BV217"/>
          <cell r="BW217"/>
          <cell r="BX217"/>
          <cell r="BY217"/>
          <cell r="BZ217"/>
          <cell r="CA217"/>
          <cell r="CB217"/>
          <cell r="CC217"/>
          <cell r="CD217"/>
          <cell r="CE217"/>
          <cell r="CF217"/>
          <cell r="CG217"/>
          <cell r="CH217"/>
          <cell r="CI217"/>
          <cell r="CJ217"/>
          <cell r="CK217"/>
        </row>
        <row r="218">
          <cell r="C218">
            <v>2714</v>
          </cell>
          <cell r="D218" t="str">
            <v>MB250045A</v>
          </cell>
          <cell r="E218" t="str">
            <v xml:space="preserve"> BRKT,H/PROTECTOR</v>
          </cell>
          <cell r="H218">
            <v>1</v>
          </cell>
          <cell r="I218">
            <v>1</v>
          </cell>
          <cell r="J218">
            <v>1</v>
          </cell>
          <cell r="K218">
            <v>1</v>
          </cell>
          <cell r="L218">
            <v>1</v>
          </cell>
          <cell r="M218">
            <v>1</v>
          </cell>
          <cell r="N218">
            <v>1</v>
          </cell>
          <cell r="O218">
            <v>1</v>
          </cell>
          <cell r="P218">
            <v>1</v>
          </cell>
          <cell r="Q218">
            <v>1</v>
          </cell>
          <cell r="R218">
            <v>1</v>
          </cell>
          <cell r="S218">
            <v>1</v>
          </cell>
          <cell r="T218">
            <v>1</v>
          </cell>
          <cell r="U218">
            <v>1</v>
          </cell>
          <cell r="V218">
            <v>1</v>
          </cell>
          <cell r="W218">
            <v>2</v>
          </cell>
          <cell r="X218">
            <v>2</v>
          </cell>
          <cell r="Y218">
            <v>1</v>
          </cell>
          <cell r="Z218">
            <v>1</v>
          </cell>
          <cell r="AA218">
            <v>1</v>
          </cell>
          <cell r="AB218">
            <v>1</v>
          </cell>
          <cell r="AC218">
            <v>1</v>
          </cell>
          <cell r="AD218">
            <v>1</v>
          </cell>
          <cell r="AE218">
            <v>2</v>
          </cell>
          <cell r="AF218">
            <v>1</v>
          </cell>
          <cell r="AG218">
            <v>1</v>
          </cell>
          <cell r="AH218">
            <v>2</v>
          </cell>
          <cell r="AI218">
            <v>2</v>
          </cell>
          <cell r="AJ218">
            <v>1</v>
          </cell>
          <cell r="AK218">
            <v>1</v>
          </cell>
          <cell r="AL218">
            <v>1</v>
          </cell>
          <cell r="AM218">
            <v>1</v>
          </cell>
          <cell r="AN218">
            <v>2</v>
          </cell>
          <cell r="AO218">
            <v>1</v>
          </cell>
          <cell r="AP218">
            <v>2</v>
          </cell>
          <cell r="AQ218">
            <v>1</v>
          </cell>
          <cell r="AR218">
            <v>2</v>
          </cell>
          <cell r="AS218">
            <v>1</v>
          </cell>
          <cell r="AT218">
            <v>2</v>
          </cell>
          <cell r="AU218">
            <v>1</v>
          </cell>
          <cell r="AV218">
            <v>1</v>
          </cell>
          <cell r="AW218">
            <v>2</v>
          </cell>
          <cell r="AX218">
            <v>1</v>
          </cell>
          <cell r="AY218">
            <v>2</v>
          </cell>
          <cell r="AZ218" t="str">
            <v>B</v>
          </cell>
          <cell r="BA218" t="str">
            <v>부전(주)</v>
          </cell>
          <cell r="BB218" t="str">
            <v>H50A11K</v>
          </cell>
          <cell r="BD218" t="str">
            <v>K804</v>
          </cell>
          <cell r="BI218">
            <v>937</v>
          </cell>
          <cell r="BJ218">
            <v>999</v>
          </cell>
          <cell r="BK218">
            <v>178</v>
          </cell>
          <cell r="BL218">
            <v>148</v>
          </cell>
          <cell r="BM218"/>
          <cell r="BN218"/>
          <cell r="BO218"/>
          <cell r="BP218"/>
          <cell r="BQ218"/>
          <cell r="BR218"/>
          <cell r="BS218"/>
          <cell r="BT218"/>
          <cell r="BU218"/>
          <cell r="BV218"/>
          <cell r="BW218"/>
          <cell r="BX218"/>
          <cell r="BY218"/>
          <cell r="BZ218"/>
          <cell r="CA218"/>
          <cell r="CB218"/>
          <cell r="CC218"/>
          <cell r="CD218"/>
          <cell r="CE218"/>
          <cell r="CF218"/>
          <cell r="CG218"/>
          <cell r="CH218"/>
          <cell r="CI218"/>
          <cell r="CJ218"/>
        </row>
        <row r="219">
          <cell r="C219">
            <v>1344</v>
          </cell>
          <cell r="D219" t="str">
            <v>MB250074A</v>
          </cell>
          <cell r="E219" t="str">
            <v xml:space="preserve"> PLATE,NUT</v>
          </cell>
          <cell r="H219">
            <v>2</v>
          </cell>
          <cell r="L219">
            <v>2</v>
          </cell>
          <cell r="M219">
            <v>2</v>
          </cell>
          <cell r="N219">
            <v>2</v>
          </cell>
          <cell r="P219">
            <v>2</v>
          </cell>
          <cell r="R219">
            <v>2</v>
          </cell>
          <cell r="U219">
            <v>2</v>
          </cell>
          <cell r="W219">
            <v>2</v>
          </cell>
          <cell r="AB219">
            <v>2</v>
          </cell>
          <cell r="AC219">
            <v>1</v>
          </cell>
          <cell r="AD219">
            <v>1</v>
          </cell>
          <cell r="AF219">
            <v>2</v>
          </cell>
          <cell r="AG219"/>
          <cell r="AH219">
            <v>2</v>
          </cell>
          <cell r="AI219"/>
          <cell r="AJ219"/>
          <cell r="AK219"/>
          <cell r="AL219">
            <v>2</v>
          </cell>
          <cell r="AM219">
            <v>2</v>
          </cell>
          <cell r="AN219">
            <v>2</v>
          </cell>
          <cell r="AO219">
            <v>2</v>
          </cell>
          <cell r="AP219">
            <v>2</v>
          </cell>
          <cell r="AQ219"/>
          <cell r="AR219"/>
          <cell r="AS219"/>
          <cell r="AT219"/>
          <cell r="AU219"/>
          <cell r="AV219"/>
          <cell r="AW219">
            <v>2</v>
          </cell>
          <cell r="AX219"/>
          <cell r="AY219"/>
          <cell r="AZ219" t="str">
            <v>B</v>
          </cell>
          <cell r="BA219" t="str">
            <v>부전(주)</v>
          </cell>
          <cell r="BB219" t="str">
            <v>H50A12K</v>
          </cell>
          <cell r="BC219"/>
          <cell r="BD219" t="str">
            <v>K804</v>
          </cell>
          <cell r="BE219" t="str">
            <v>S/B</v>
          </cell>
          <cell r="BF219"/>
          <cell r="BG219"/>
          <cell r="BH219"/>
          <cell r="BI219">
            <v>98</v>
          </cell>
          <cell r="BJ219">
            <v>1078</v>
          </cell>
          <cell r="BK219">
            <v>56</v>
          </cell>
          <cell r="BL219">
            <v>4</v>
          </cell>
          <cell r="BM219"/>
          <cell r="BN219"/>
          <cell r="BO219"/>
          <cell r="BP219"/>
          <cell r="BQ219"/>
          <cell r="BR219"/>
          <cell r="BS219"/>
          <cell r="BT219"/>
          <cell r="BU219"/>
          <cell r="BV219"/>
          <cell r="BW219"/>
          <cell r="BX219"/>
          <cell r="BY219"/>
          <cell r="BZ219"/>
          <cell r="CA219"/>
          <cell r="CB219"/>
          <cell r="CC219"/>
          <cell r="CD219"/>
          <cell r="CE219"/>
          <cell r="CF219"/>
          <cell r="CG219"/>
          <cell r="CH219"/>
          <cell r="CI219"/>
          <cell r="CJ219"/>
          <cell r="CK219"/>
          <cell r="CL219"/>
          <cell r="CM219"/>
          <cell r="CN219"/>
          <cell r="CO219"/>
          <cell r="CP219"/>
        </row>
        <row r="220">
          <cell r="C220">
            <v>10336</v>
          </cell>
          <cell r="D220" t="str">
            <v>MB250105A</v>
          </cell>
          <cell r="E220" t="str">
            <v xml:space="preserve"> PLATE,NUT</v>
          </cell>
          <cell r="G220">
            <v>4</v>
          </cell>
          <cell r="AZ220" t="str">
            <v>B</v>
          </cell>
          <cell r="BA220" t="str">
            <v>부전(주)</v>
          </cell>
          <cell r="BB220" t="str">
            <v>H50A12K</v>
          </cell>
          <cell r="BD220" t="str">
            <v>K804</v>
          </cell>
          <cell r="BE220" t="str">
            <v>ALL</v>
          </cell>
          <cell r="BI220">
            <v>0</v>
          </cell>
          <cell r="BJ220">
            <v>0</v>
          </cell>
          <cell r="BK220">
            <v>0</v>
          </cell>
          <cell r="BL220">
            <v>0</v>
          </cell>
          <cell r="BM220"/>
          <cell r="BN220"/>
          <cell r="BO220"/>
          <cell r="BP220"/>
          <cell r="BQ220"/>
          <cell r="BR220"/>
          <cell r="BS220"/>
          <cell r="BT220"/>
          <cell r="BU220"/>
          <cell r="BV220"/>
          <cell r="BW220"/>
          <cell r="BX220"/>
          <cell r="BY220"/>
          <cell r="BZ220"/>
          <cell r="CA220"/>
          <cell r="CB220"/>
          <cell r="CC220"/>
          <cell r="CD220"/>
          <cell r="CE220"/>
          <cell r="CF220"/>
          <cell r="CG220"/>
          <cell r="CH220"/>
          <cell r="CI220"/>
          <cell r="CJ220"/>
          <cell r="CK220"/>
        </row>
        <row r="221">
          <cell r="C221">
            <v>2584</v>
          </cell>
          <cell r="D221" t="str">
            <v>MB250107A</v>
          </cell>
          <cell r="E221" t="str">
            <v xml:space="preserve"> BRKT,H/PROTECTOR</v>
          </cell>
          <cell r="G221">
            <v>1</v>
          </cell>
          <cell r="AZ221" t="str">
            <v>B</v>
          </cell>
          <cell r="BA221" t="str">
            <v>부전(주)</v>
          </cell>
          <cell r="BB221" t="str">
            <v>H50A13K</v>
          </cell>
          <cell r="BD221" t="str">
            <v>K804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  <cell r="BM221"/>
          <cell r="BN221"/>
          <cell r="BO221"/>
          <cell r="BP221"/>
          <cell r="BQ221"/>
          <cell r="BR221"/>
          <cell r="BS221"/>
          <cell r="BT221"/>
          <cell r="BU221"/>
          <cell r="BV221"/>
          <cell r="BW221"/>
          <cell r="BX221"/>
          <cell r="BY221"/>
          <cell r="BZ221"/>
          <cell r="CA221"/>
          <cell r="CB221"/>
          <cell r="CC221"/>
          <cell r="CD221"/>
          <cell r="CE221"/>
          <cell r="CF221"/>
          <cell r="CG221"/>
          <cell r="CH221"/>
          <cell r="CI221"/>
          <cell r="CJ221"/>
        </row>
        <row r="222">
          <cell r="C222">
            <v>130</v>
          </cell>
          <cell r="D222" t="str">
            <v>MB250109A</v>
          </cell>
          <cell r="E222" t="str">
            <v xml:space="preserve"> BRKT,H/PROTECTOR</v>
          </cell>
          <cell r="W222">
            <v>1</v>
          </cell>
          <cell r="X222">
            <v>1</v>
          </cell>
          <cell r="Z222">
            <v>1</v>
          </cell>
          <cell r="AE222">
            <v>1</v>
          </cell>
          <cell r="AH222">
            <v>1</v>
          </cell>
          <cell r="AI222">
            <v>1</v>
          </cell>
          <cell r="AN222">
            <v>1</v>
          </cell>
          <cell r="AP222">
            <v>1</v>
          </cell>
          <cell r="AR222">
            <v>1</v>
          </cell>
          <cell r="AT222">
            <v>1</v>
          </cell>
          <cell r="AW222">
            <v>1</v>
          </cell>
          <cell r="AY222">
            <v>1</v>
          </cell>
          <cell r="AZ222" t="str">
            <v>B</v>
          </cell>
          <cell r="BA222" t="str">
            <v>부전(주)</v>
          </cell>
          <cell r="BB222" t="str">
            <v>H50A12K</v>
          </cell>
          <cell r="BD222" t="str">
            <v>K804</v>
          </cell>
          <cell r="BE222" t="str">
            <v>V6,TCI</v>
          </cell>
          <cell r="BI222">
            <v>0</v>
          </cell>
          <cell r="BJ222">
            <v>2</v>
          </cell>
          <cell r="BK222">
            <v>60</v>
          </cell>
          <cell r="BL222">
            <v>46</v>
          </cell>
          <cell r="BM222"/>
          <cell r="BN222"/>
          <cell r="BO222"/>
          <cell r="BP222"/>
          <cell r="BQ222"/>
          <cell r="BR222"/>
          <cell r="BS222"/>
          <cell r="BT222"/>
          <cell r="BU222"/>
          <cell r="BV222"/>
          <cell r="BW222"/>
          <cell r="BX222"/>
          <cell r="BY222"/>
          <cell r="BZ222"/>
          <cell r="CA222"/>
          <cell r="CB222"/>
          <cell r="CC222"/>
          <cell r="CD222"/>
          <cell r="CE222"/>
          <cell r="CF222"/>
          <cell r="CG222"/>
          <cell r="CH222"/>
          <cell r="CI222"/>
          <cell r="CJ222"/>
          <cell r="CK222"/>
          <cell r="CL222"/>
          <cell r="CM222"/>
          <cell r="CN222"/>
          <cell r="CO222"/>
          <cell r="CP222"/>
          <cell r="CQ222"/>
        </row>
        <row r="223">
          <cell r="C223">
            <v>2454</v>
          </cell>
          <cell r="D223" t="str">
            <v>MB250140A</v>
          </cell>
          <cell r="E223" t="str">
            <v xml:space="preserve"> REINF,F/FILTER</v>
          </cell>
          <cell r="H223">
            <v>1</v>
          </cell>
          <cell r="I223">
            <v>1</v>
          </cell>
          <cell r="J223">
            <v>1</v>
          </cell>
          <cell r="K223">
            <v>1</v>
          </cell>
          <cell r="L223">
            <v>1</v>
          </cell>
          <cell r="M223">
            <v>1</v>
          </cell>
          <cell r="N223">
            <v>1</v>
          </cell>
          <cell r="O223">
            <v>1</v>
          </cell>
          <cell r="P223">
            <v>1</v>
          </cell>
          <cell r="Q223">
            <v>1</v>
          </cell>
          <cell r="R223">
            <v>1</v>
          </cell>
          <cell r="S223">
            <v>1</v>
          </cell>
          <cell r="T223">
            <v>1</v>
          </cell>
          <cell r="U223">
            <v>1</v>
          </cell>
          <cell r="V223">
            <v>1</v>
          </cell>
          <cell r="Y223">
            <v>1</v>
          </cell>
          <cell r="Z223">
            <v>1</v>
          </cell>
          <cell r="AA223">
            <v>1</v>
          </cell>
          <cell r="AB223">
            <v>1</v>
          </cell>
          <cell r="AC223">
            <v>1</v>
          </cell>
          <cell r="AD223">
            <v>1</v>
          </cell>
          <cell r="AF223">
            <v>1</v>
          </cell>
          <cell r="AG223">
            <v>1</v>
          </cell>
          <cell r="AH223"/>
          <cell r="AI223"/>
          <cell r="AJ223">
            <v>1</v>
          </cell>
          <cell r="AK223">
            <v>1</v>
          </cell>
          <cell r="AL223">
            <v>1</v>
          </cell>
          <cell r="AM223">
            <v>1</v>
          </cell>
          <cell r="AN223"/>
          <cell r="AO223">
            <v>1</v>
          </cell>
          <cell r="AP223"/>
          <cell r="AQ223">
            <v>1</v>
          </cell>
          <cell r="AR223"/>
          <cell r="AS223">
            <v>1</v>
          </cell>
          <cell r="AT223"/>
          <cell r="AU223">
            <v>1</v>
          </cell>
          <cell r="AV223">
            <v>1</v>
          </cell>
          <cell r="AW223"/>
          <cell r="AX223">
            <v>1</v>
          </cell>
          <cell r="AY223"/>
          <cell r="AZ223" t="str">
            <v>B</v>
          </cell>
          <cell r="BA223" t="str">
            <v>부전(주)</v>
          </cell>
          <cell r="BB223" t="str">
            <v>H50A13K</v>
          </cell>
          <cell r="BC223"/>
          <cell r="BD223" t="str">
            <v>K804</v>
          </cell>
          <cell r="BE223"/>
          <cell r="BF223"/>
          <cell r="BG223"/>
          <cell r="BH223"/>
          <cell r="BI223">
            <v>937</v>
          </cell>
          <cell r="BJ223">
            <v>995</v>
          </cell>
          <cell r="BK223">
            <v>58</v>
          </cell>
          <cell r="BL223">
            <v>56</v>
          </cell>
          <cell r="BM223"/>
          <cell r="BN223"/>
          <cell r="BO223"/>
          <cell r="BP223"/>
          <cell r="BQ223"/>
          <cell r="BR223"/>
          <cell r="BS223"/>
          <cell r="BT223"/>
          <cell r="BU223"/>
          <cell r="BV223"/>
          <cell r="BW223"/>
          <cell r="BX223"/>
          <cell r="BY223"/>
          <cell r="BZ223"/>
          <cell r="CA223"/>
          <cell r="CB223"/>
          <cell r="CC223"/>
          <cell r="CD223"/>
          <cell r="CE223"/>
          <cell r="CF223"/>
          <cell r="CG223"/>
          <cell r="CH223"/>
          <cell r="CI223"/>
          <cell r="CJ223"/>
          <cell r="CK223"/>
          <cell r="CL223"/>
          <cell r="CM223"/>
          <cell r="CN223"/>
          <cell r="CO223"/>
          <cell r="CP223"/>
        </row>
        <row r="224">
          <cell r="C224">
            <v>2584</v>
          </cell>
          <cell r="D224" t="str">
            <v>MB250142A</v>
          </cell>
          <cell r="E224" t="str">
            <v xml:space="preserve"> BRKT ACCEL PEDAL</v>
          </cell>
          <cell r="G224">
            <v>1</v>
          </cell>
          <cell r="AZ224" t="str">
            <v>B</v>
          </cell>
          <cell r="BA224" t="str">
            <v>부전(주)</v>
          </cell>
          <cell r="BB224" t="str">
            <v>H50A13K</v>
          </cell>
          <cell r="BD224" t="str">
            <v>K804</v>
          </cell>
          <cell r="BE224" t="str">
            <v>ALL</v>
          </cell>
          <cell r="BI224">
            <v>0</v>
          </cell>
          <cell r="BJ224">
            <v>0</v>
          </cell>
          <cell r="BK224">
            <v>0</v>
          </cell>
          <cell r="BL224">
            <v>0</v>
          </cell>
          <cell r="BM224"/>
          <cell r="BN224"/>
          <cell r="BO224"/>
          <cell r="BP224"/>
          <cell r="BQ224"/>
          <cell r="BR224"/>
          <cell r="BS224"/>
          <cell r="BT224"/>
          <cell r="BU224"/>
          <cell r="BV224"/>
          <cell r="BW224"/>
          <cell r="BX224"/>
          <cell r="BY224"/>
          <cell r="BZ224"/>
          <cell r="CA224"/>
          <cell r="CB224"/>
          <cell r="CC224"/>
          <cell r="CD224"/>
          <cell r="CE224"/>
          <cell r="CF224"/>
          <cell r="CG224"/>
          <cell r="CH224"/>
          <cell r="CI224"/>
          <cell r="CJ224"/>
          <cell r="CK224"/>
        </row>
        <row r="225">
          <cell r="C225">
            <v>5168</v>
          </cell>
          <cell r="D225" t="str">
            <v>MB250146</v>
          </cell>
          <cell r="E225" t="str">
            <v xml:space="preserve"> BRKT,MUD GUARD</v>
          </cell>
          <cell r="F225" t="str">
            <v>R/H,D/C:3</v>
          </cell>
          <cell r="G225">
            <v>2</v>
          </cell>
          <cell r="AZ225" t="str">
            <v>B</v>
          </cell>
          <cell r="BA225" t="str">
            <v>부전(주)</v>
          </cell>
          <cell r="BB225" t="str">
            <v>H50A13K</v>
          </cell>
          <cell r="BC225" t="str">
            <v>LINE ALL 3EA사용</v>
          </cell>
          <cell r="BD225" t="str">
            <v>K804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  <cell r="BM225"/>
          <cell r="BN225"/>
          <cell r="BO225"/>
          <cell r="BP225"/>
          <cell r="BQ225"/>
          <cell r="BR225"/>
          <cell r="BS225"/>
          <cell r="BT225"/>
          <cell r="BU225"/>
          <cell r="BV225"/>
          <cell r="BW225"/>
          <cell r="BX225"/>
          <cell r="BY225"/>
          <cell r="BZ225"/>
          <cell r="CA225"/>
          <cell r="CB225"/>
          <cell r="CC225"/>
          <cell r="CD225"/>
          <cell r="CE225"/>
          <cell r="CF225"/>
          <cell r="CG225"/>
          <cell r="CH225"/>
          <cell r="CI225"/>
          <cell r="CJ225"/>
        </row>
        <row r="226">
          <cell r="C226">
            <v>2584</v>
          </cell>
          <cell r="D226" t="str">
            <v>MB250150A</v>
          </cell>
          <cell r="E226" t="str">
            <v xml:space="preserve"> REINF, HINGE(C)</v>
          </cell>
          <cell r="G226">
            <v>1</v>
          </cell>
          <cell r="AZ226" t="str">
            <v>B</v>
          </cell>
          <cell r="BA226" t="str">
            <v>부전(주)</v>
          </cell>
          <cell r="BB226" t="str">
            <v>H50A17K</v>
          </cell>
          <cell r="BD226" t="str">
            <v>K804</v>
          </cell>
          <cell r="BE226" t="str">
            <v>ALL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  <cell r="BM226"/>
          <cell r="BN226"/>
          <cell r="BO226"/>
          <cell r="BP226"/>
          <cell r="BQ226"/>
          <cell r="BR226"/>
          <cell r="BS226"/>
          <cell r="BT226"/>
          <cell r="BU226"/>
          <cell r="BV226"/>
          <cell r="BW226"/>
          <cell r="BX226"/>
          <cell r="BY226"/>
          <cell r="BZ226"/>
          <cell r="CA226"/>
          <cell r="CB226"/>
          <cell r="CC226"/>
          <cell r="CD226"/>
          <cell r="CE226"/>
          <cell r="CF226"/>
          <cell r="CG226"/>
          <cell r="CH226"/>
          <cell r="CI226"/>
          <cell r="CJ226"/>
          <cell r="CK226"/>
        </row>
        <row r="227">
          <cell r="C227">
            <v>2584</v>
          </cell>
          <cell r="D227" t="str">
            <v>MB250151</v>
          </cell>
          <cell r="E227" t="str">
            <v xml:space="preserve"> REINF,B/DR CHECK(A)</v>
          </cell>
          <cell r="G227">
            <v>1</v>
          </cell>
          <cell r="AZ227" t="str">
            <v>B</v>
          </cell>
          <cell r="BA227" t="str">
            <v>부전(주)</v>
          </cell>
          <cell r="BB227" t="str">
            <v>H50A17K</v>
          </cell>
          <cell r="BD227" t="str">
            <v>K804</v>
          </cell>
          <cell r="BE227" t="str">
            <v>ALL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  <cell r="BM227"/>
          <cell r="BN227"/>
          <cell r="BO227"/>
          <cell r="BP227"/>
          <cell r="BQ227"/>
          <cell r="BR227"/>
          <cell r="BS227"/>
          <cell r="BT227"/>
          <cell r="BU227"/>
          <cell r="BV227"/>
          <cell r="BW227"/>
          <cell r="BX227"/>
          <cell r="BY227"/>
          <cell r="BZ227"/>
          <cell r="CA227"/>
          <cell r="CB227"/>
          <cell r="CC227"/>
          <cell r="CD227"/>
          <cell r="CE227"/>
          <cell r="CF227"/>
          <cell r="CG227"/>
          <cell r="CH227"/>
          <cell r="CI227"/>
          <cell r="CJ227"/>
          <cell r="CK227"/>
        </row>
        <row r="228">
          <cell r="C228">
            <v>1208</v>
          </cell>
          <cell r="D228" t="str">
            <v>MB250205A</v>
          </cell>
          <cell r="E228" t="str">
            <v xml:space="preserve"> BRKT,AIR CLEANER</v>
          </cell>
          <cell r="R228">
            <v>2</v>
          </cell>
          <cell r="W228">
            <v>1</v>
          </cell>
          <cell r="X228">
            <v>1</v>
          </cell>
          <cell r="AB228">
            <v>2</v>
          </cell>
          <cell r="AE228">
            <v>1</v>
          </cell>
          <cell r="AH228">
            <v>1</v>
          </cell>
          <cell r="AI228">
            <v>1</v>
          </cell>
          <cell r="AN228">
            <v>1</v>
          </cell>
          <cell r="AP228">
            <v>1</v>
          </cell>
          <cell r="AR228">
            <v>1</v>
          </cell>
          <cell r="AT228">
            <v>1</v>
          </cell>
          <cell r="AW228">
            <v>1</v>
          </cell>
          <cell r="AY228">
            <v>1</v>
          </cell>
          <cell r="AZ228" t="str">
            <v>B</v>
          </cell>
          <cell r="BA228" t="str">
            <v>부전(주)</v>
          </cell>
          <cell r="BB228" t="str">
            <v>H50A14K</v>
          </cell>
          <cell r="BD228" t="str">
            <v>K804</v>
          </cell>
          <cell r="BE228" t="str">
            <v>5,6,14,19</v>
          </cell>
          <cell r="BI228">
            <v>0</v>
          </cell>
          <cell r="BJ228">
            <v>1080</v>
          </cell>
          <cell r="BK228">
            <v>60</v>
          </cell>
          <cell r="BL228">
            <v>46</v>
          </cell>
          <cell r="BM228"/>
          <cell r="BN228"/>
          <cell r="BO228"/>
          <cell r="BP228"/>
          <cell r="BQ228"/>
          <cell r="BR228"/>
          <cell r="BS228"/>
          <cell r="BT228"/>
          <cell r="BU228"/>
          <cell r="BV228"/>
          <cell r="BW228"/>
          <cell r="BX228"/>
          <cell r="BY228"/>
          <cell r="BZ228"/>
          <cell r="CA228"/>
          <cell r="CB228"/>
          <cell r="CC228"/>
          <cell r="CD228"/>
          <cell r="CE228"/>
          <cell r="CF228"/>
          <cell r="CG228"/>
          <cell r="CH228"/>
          <cell r="CI228"/>
          <cell r="CJ228"/>
          <cell r="CK228"/>
          <cell r="CL228"/>
          <cell r="CM228"/>
          <cell r="CN228"/>
          <cell r="CO228"/>
          <cell r="CP228"/>
          <cell r="CQ228"/>
        </row>
        <row r="229">
          <cell r="C229">
            <v>2454</v>
          </cell>
          <cell r="D229" t="str">
            <v>MB250207A</v>
          </cell>
          <cell r="E229" t="str">
            <v xml:space="preserve"> BRKT,OIL COOLER HOSE</v>
          </cell>
          <cell r="H229">
            <v>1</v>
          </cell>
          <cell r="I229">
            <v>1</v>
          </cell>
          <cell r="J229">
            <v>1</v>
          </cell>
          <cell r="K229">
            <v>1</v>
          </cell>
          <cell r="L229">
            <v>1</v>
          </cell>
          <cell r="M229">
            <v>1</v>
          </cell>
          <cell r="N229">
            <v>1</v>
          </cell>
          <cell r="O229">
            <v>1</v>
          </cell>
          <cell r="P229">
            <v>1</v>
          </cell>
          <cell r="Q229">
            <v>1</v>
          </cell>
          <cell r="R229">
            <v>1</v>
          </cell>
          <cell r="S229">
            <v>1</v>
          </cell>
          <cell r="T229">
            <v>1</v>
          </cell>
          <cell r="U229">
            <v>1</v>
          </cell>
          <cell r="V229">
            <v>1</v>
          </cell>
          <cell r="Y229">
            <v>1</v>
          </cell>
          <cell r="Z229">
            <v>1</v>
          </cell>
          <cell r="AA229">
            <v>1</v>
          </cell>
          <cell r="AB229">
            <v>1</v>
          </cell>
          <cell r="AC229">
            <v>1</v>
          </cell>
          <cell r="AD229">
            <v>1</v>
          </cell>
          <cell r="AF229">
            <v>1</v>
          </cell>
          <cell r="AG229">
            <v>1</v>
          </cell>
          <cell r="AH229"/>
          <cell r="AI229"/>
          <cell r="AJ229">
            <v>1</v>
          </cell>
          <cell r="AK229">
            <v>1</v>
          </cell>
          <cell r="AL229">
            <v>1</v>
          </cell>
          <cell r="AM229">
            <v>1</v>
          </cell>
          <cell r="AN229"/>
          <cell r="AO229">
            <v>1</v>
          </cell>
          <cell r="AP229"/>
          <cell r="AQ229">
            <v>1</v>
          </cell>
          <cell r="AR229"/>
          <cell r="AS229">
            <v>1</v>
          </cell>
          <cell r="AT229"/>
          <cell r="AU229">
            <v>1</v>
          </cell>
          <cell r="AV229">
            <v>1</v>
          </cell>
          <cell r="AW229"/>
          <cell r="AX229"/>
          <cell r="AY229"/>
          <cell r="AZ229" t="str">
            <v>B</v>
          </cell>
          <cell r="BA229" t="str">
            <v>부전(주)</v>
          </cell>
          <cell r="BB229" t="str">
            <v>H50A14K</v>
          </cell>
          <cell r="BC229"/>
          <cell r="BD229" t="str">
            <v>K804</v>
          </cell>
          <cell r="BE229"/>
          <cell r="BF229"/>
          <cell r="BG229"/>
          <cell r="BH229"/>
          <cell r="BI229">
            <v>937</v>
          </cell>
          <cell r="BJ229">
            <v>995</v>
          </cell>
          <cell r="BK229">
            <v>58</v>
          </cell>
          <cell r="BL229">
            <v>56</v>
          </cell>
          <cell r="BM229"/>
          <cell r="BN229"/>
          <cell r="BO229"/>
          <cell r="BP229"/>
          <cell r="BQ229"/>
          <cell r="BR229"/>
          <cell r="BS229"/>
          <cell r="BT229"/>
          <cell r="BU229"/>
          <cell r="BV229"/>
          <cell r="BW229"/>
          <cell r="BX229"/>
          <cell r="BY229"/>
          <cell r="BZ229"/>
          <cell r="CA229"/>
          <cell r="CB229"/>
          <cell r="CC229"/>
          <cell r="CD229"/>
          <cell r="CE229"/>
          <cell r="CF229"/>
          <cell r="CG229"/>
          <cell r="CH229"/>
          <cell r="CI229"/>
          <cell r="CJ229"/>
          <cell r="CK229"/>
          <cell r="CL229"/>
          <cell r="CM229"/>
          <cell r="CN229"/>
          <cell r="CO229"/>
          <cell r="CP229"/>
        </row>
        <row r="230">
          <cell r="C230">
            <v>2454</v>
          </cell>
          <cell r="D230" t="str">
            <v>MB250211A</v>
          </cell>
          <cell r="E230" t="str">
            <v xml:space="preserve"> BRKT,HEAT PROTECTOR</v>
          </cell>
          <cell r="H230">
            <v>1</v>
          </cell>
          <cell r="I230">
            <v>1</v>
          </cell>
          <cell r="J230">
            <v>1</v>
          </cell>
          <cell r="K230">
            <v>1</v>
          </cell>
          <cell r="L230">
            <v>1</v>
          </cell>
          <cell r="M230">
            <v>1</v>
          </cell>
          <cell r="N230">
            <v>1</v>
          </cell>
          <cell r="O230">
            <v>1</v>
          </cell>
          <cell r="P230">
            <v>1</v>
          </cell>
          <cell r="Q230">
            <v>1</v>
          </cell>
          <cell r="R230">
            <v>1</v>
          </cell>
          <cell r="S230">
            <v>1</v>
          </cell>
          <cell r="T230">
            <v>1</v>
          </cell>
          <cell r="U230">
            <v>1</v>
          </cell>
          <cell r="V230">
            <v>1</v>
          </cell>
          <cell r="Y230">
            <v>1</v>
          </cell>
          <cell r="Z230">
            <v>1</v>
          </cell>
          <cell r="AA230">
            <v>1</v>
          </cell>
          <cell r="AB230">
            <v>1</v>
          </cell>
          <cell r="AC230">
            <v>1</v>
          </cell>
          <cell r="AD230">
            <v>1</v>
          </cell>
          <cell r="AF230">
            <v>1</v>
          </cell>
          <cell r="AG230">
            <v>1</v>
          </cell>
          <cell r="AH230"/>
          <cell r="AI230"/>
          <cell r="AJ230">
            <v>1</v>
          </cell>
          <cell r="AK230">
            <v>1</v>
          </cell>
          <cell r="AL230">
            <v>1</v>
          </cell>
          <cell r="AM230">
            <v>1</v>
          </cell>
          <cell r="AN230"/>
          <cell r="AO230">
            <v>1</v>
          </cell>
          <cell r="AP230"/>
          <cell r="AQ230">
            <v>1</v>
          </cell>
          <cell r="AR230"/>
          <cell r="AS230">
            <v>1</v>
          </cell>
          <cell r="AT230"/>
          <cell r="AU230">
            <v>1</v>
          </cell>
          <cell r="AV230">
            <v>1</v>
          </cell>
          <cell r="AW230"/>
          <cell r="AX230"/>
          <cell r="AY230"/>
          <cell r="AZ230" t="str">
            <v>B</v>
          </cell>
          <cell r="BA230" t="str">
            <v>부전(주)</v>
          </cell>
          <cell r="BB230" t="str">
            <v>H50A14K</v>
          </cell>
          <cell r="BC230"/>
          <cell r="BD230" t="str">
            <v>K804</v>
          </cell>
          <cell r="BE230"/>
          <cell r="BF230"/>
          <cell r="BG230"/>
          <cell r="BH230"/>
          <cell r="BI230">
            <v>937</v>
          </cell>
          <cell r="BJ230">
            <v>995</v>
          </cell>
          <cell r="BK230">
            <v>58</v>
          </cell>
          <cell r="BL230">
            <v>56</v>
          </cell>
          <cell r="BM230"/>
          <cell r="BN230"/>
          <cell r="BO230"/>
          <cell r="BP230"/>
          <cell r="BQ230"/>
          <cell r="BR230"/>
          <cell r="BS230"/>
          <cell r="BT230"/>
          <cell r="BU230"/>
          <cell r="BV230"/>
          <cell r="BW230"/>
          <cell r="BX230"/>
          <cell r="BY230"/>
          <cell r="BZ230"/>
          <cell r="CA230"/>
          <cell r="CB230"/>
          <cell r="CC230"/>
          <cell r="CD230"/>
          <cell r="CE230"/>
          <cell r="CF230"/>
          <cell r="CG230"/>
          <cell r="CH230"/>
          <cell r="CI230"/>
          <cell r="CJ230"/>
          <cell r="CK230"/>
          <cell r="CL230"/>
          <cell r="CM230"/>
          <cell r="CN230"/>
          <cell r="CO230"/>
          <cell r="CP230"/>
        </row>
        <row r="231">
          <cell r="C231">
            <v>2584</v>
          </cell>
          <cell r="D231" t="str">
            <v>MB250235</v>
          </cell>
          <cell r="E231" t="str">
            <v xml:space="preserve"> BRKT,RADIATOR GRILLE</v>
          </cell>
          <cell r="G231">
            <v>1</v>
          </cell>
          <cell r="AZ231" t="str">
            <v>B</v>
          </cell>
          <cell r="BA231" t="str">
            <v>부전(주)</v>
          </cell>
          <cell r="BB231" t="str">
            <v>H50A15K</v>
          </cell>
          <cell r="BD231" t="str">
            <v>K804</v>
          </cell>
          <cell r="BE231" t="str">
            <v>ALL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/>
          <cell r="BN231"/>
          <cell r="BO231"/>
          <cell r="BP231"/>
          <cell r="BQ231"/>
          <cell r="BR231"/>
          <cell r="BS231"/>
          <cell r="BT231"/>
          <cell r="BU231"/>
          <cell r="BV231"/>
          <cell r="BW231"/>
          <cell r="BX231"/>
          <cell r="BY231"/>
          <cell r="BZ231"/>
          <cell r="CA231"/>
          <cell r="CB231"/>
          <cell r="CC231"/>
          <cell r="CD231"/>
          <cell r="CE231"/>
          <cell r="CF231"/>
          <cell r="CG231"/>
          <cell r="CH231"/>
          <cell r="CI231"/>
          <cell r="CJ231"/>
          <cell r="CK231"/>
        </row>
        <row r="232">
          <cell r="C232">
            <v>2584</v>
          </cell>
          <cell r="D232" t="str">
            <v>MB250261</v>
          </cell>
          <cell r="E232" t="str">
            <v xml:space="preserve"> REINF,BODY MT'G NO1(B) LH</v>
          </cell>
          <cell r="G232">
            <v>1</v>
          </cell>
          <cell r="AZ232" t="str">
            <v>B</v>
          </cell>
          <cell r="BA232" t="str">
            <v>부전(주)</v>
          </cell>
          <cell r="BB232" t="str">
            <v>H50A15K</v>
          </cell>
          <cell r="BD232" t="str">
            <v>K804</v>
          </cell>
          <cell r="BE232" t="str">
            <v>ALL</v>
          </cell>
          <cell r="BI232">
            <v>0</v>
          </cell>
          <cell r="BJ232">
            <v>0</v>
          </cell>
          <cell r="BK232">
            <v>0</v>
          </cell>
          <cell r="BL232">
            <v>0</v>
          </cell>
          <cell r="BM232"/>
          <cell r="BN232"/>
          <cell r="BO232"/>
          <cell r="BP232"/>
          <cell r="BQ232"/>
          <cell r="BR232"/>
          <cell r="BS232"/>
          <cell r="BT232"/>
          <cell r="BU232"/>
          <cell r="BV232"/>
          <cell r="BW232"/>
          <cell r="BX232"/>
          <cell r="BY232"/>
          <cell r="BZ232"/>
          <cell r="CA232"/>
          <cell r="CB232"/>
          <cell r="CC232"/>
          <cell r="CD232"/>
          <cell r="CE232"/>
          <cell r="CF232"/>
          <cell r="CG232"/>
          <cell r="CH232"/>
          <cell r="CI232"/>
          <cell r="CJ232"/>
          <cell r="CK232"/>
        </row>
        <row r="233">
          <cell r="C233">
            <v>2584</v>
          </cell>
          <cell r="D233" t="str">
            <v>MB250262</v>
          </cell>
          <cell r="E233" t="str">
            <v xml:space="preserve"> REINF,BODY MT'G NO1(B) RH</v>
          </cell>
          <cell r="G233">
            <v>1</v>
          </cell>
          <cell r="AZ233" t="str">
            <v>B</v>
          </cell>
          <cell r="BA233" t="str">
            <v>부전(주)</v>
          </cell>
          <cell r="BB233" t="str">
            <v>H50A15K</v>
          </cell>
          <cell r="BD233" t="str">
            <v>K804</v>
          </cell>
          <cell r="BE233" t="str">
            <v>ALL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/>
          <cell r="BN233"/>
          <cell r="BO233"/>
          <cell r="BP233"/>
          <cell r="BQ233"/>
          <cell r="BR233"/>
          <cell r="BS233"/>
          <cell r="BT233"/>
          <cell r="BU233"/>
          <cell r="BV233"/>
          <cell r="BW233"/>
          <cell r="BX233"/>
          <cell r="BY233"/>
          <cell r="BZ233"/>
          <cell r="CA233"/>
          <cell r="CB233"/>
          <cell r="CC233"/>
          <cell r="CD233"/>
          <cell r="CE233"/>
          <cell r="CF233"/>
          <cell r="CG233"/>
          <cell r="CH233"/>
          <cell r="CI233"/>
          <cell r="CJ233"/>
          <cell r="CK233"/>
        </row>
        <row r="234">
          <cell r="C234">
            <v>2584</v>
          </cell>
          <cell r="D234" t="str">
            <v>MB250293</v>
          </cell>
          <cell r="E234" t="str">
            <v xml:space="preserve"> REINF,LWR LH</v>
          </cell>
          <cell r="G234">
            <v>1</v>
          </cell>
          <cell r="AZ234" t="str">
            <v>B</v>
          </cell>
          <cell r="BA234" t="str">
            <v>부전(주)</v>
          </cell>
          <cell r="BB234" t="str">
            <v>H50A15K</v>
          </cell>
          <cell r="BD234" t="str">
            <v>K804</v>
          </cell>
          <cell r="BE234" t="str">
            <v>ALL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  <cell r="BM234"/>
          <cell r="BN234"/>
          <cell r="BO234"/>
          <cell r="BP234"/>
          <cell r="BQ234"/>
          <cell r="BR234"/>
          <cell r="BS234"/>
          <cell r="BT234"/>
          <cell r="BU234"/>
          <cell r="BV234"/>
          <cell r="BW234"/>
          <cell r="BX234"/>
          <cell r="BY234"/>
          <cell r="BZ234"/>
          <cell r="CA234"/>
          <cell r="CB234"/>
          <cell r="CC234"/>
          <cell r="CD234"/>
          <cell r="CE234"/>
          <cell r="CF234"/>
          <cell r="CG234"/>
          <cell r="CH234"/>
          <cell r="CI234"/>
          <cell r="CJ234"/>
          <cell r="CK234"/>
        </row>
        <row r="235">
          <cell r="C235">
            <v>2584</v>
          </cell>
          <cell r="D235" t="str">
            <v>MB250294</v>
          </cell>
          <cell r="E235" t="str">
            <v xml:space="preserve"> REINF,LWR RH</v>
          </cell>
          <cell r="G235">
            <v>1</v>
          </cell>
          <cell r="AZ235" t="str">
            <v>B</v>
          </cell>
          <cell r="BA235" t="str">
            <v>부전(주)</v>
          </cell>
          <cell r="BB235" t="str">
            <v>H50A15K</v>
          </cell>
          <cell r="BD235" t="str">
            <v>K804</v>
          </cell>
          <cell r="BE235" t="str">
            <v>ALL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  <cell r="BM235"/>
          <cell r="BN235"/>
          <cell r="BO235"/>
          <cell r="BP235"/>
          <cell r="BQ235"/>
          <cell r="BR235"/>
          <cell r="BS235"/>
          <cell r="BT235"/>
          <cell r="BU235"/>
          <cell r="BV235"/>
          <cell r="BW235"/>
          <cell r="BX235"/>
          <cell r="BY235"/>
          <cell r="BZ235"/>
          <cell r="CA235"/>
          <cell r="CB235"/>
          <cell r="CC235"/>
          <cell r="CD235"/>
          <cell r="CE235"/>
          <cell r="CF235"/>
          <cell r="CG235"/>
          <cell r="CH235"/>
          <cell r="CI235"/>
          <cell r="CJ235"/>
          <cell r="CK235"/>
        </row>
        <row r="236">
          <cell r="C236">
            <v>10336</v>
          </cell>
          <cell r="D236" t="str">
            <v>MB250299</v>
          </cell>
          <cell r="E236" t="str">
            <v xml:space="preserve"> BRKT,H/LP BEZEL</v>
          </cell>
          <cell r="G236">
            <v>4</v>
          </cell>
          <cell r="AZ236" t="str">
            <v>B</v>
          </cell>
          <cell r="BA236" t="str">
            <v>부전(주)</v>
          </cell>
          <cell r="BB236" t="str">
            <v>H50A15K</v>
          </cell>
          <cell r="BD236" t="str">
            <v>K804</v>
          </cell>
          <cell r="BE236" t="str">
            <v>ALL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  <cell r="BM236"/>
          <cell r="BN236"/>
          <cell r="BO236"/>
          <cell r="BP236"/>
          <cell r="BQ236"/>
          <cell r="BR236"/>
          <cell r="BS236"/>
          <cell r="BT236"/>
          <cell r="BU236"/>
          <cell r="BV236"/>
          <cell r="BW236"/>
          <cell r="BX236"/>
          <cell r="BY236"/>
          <cell r="BZ236"/>
          <cell r="CA236"/>
          <cell r="CB236"/>
          <cell r="CC236"/>
          <cell r="CD236"/>
          <cell r="CE236"/>
          <cell r="CF236"/>
          <cell r="CG236"/>
          <cell r="CH236"/>
          <cell r="CI236"/>
          <cell r="CJ236"/>
          <cell r="CK236"/>
        </row>
        <row r="237">
          <cell r="C237" t="str">
            <v>☆</v>
          </cell>
          <cell r="D237" t="str">
            <v>MB250381A</v>
          </cell>
          <cell r="E237" t="str">
            <v xml:space="preserve"> BRKT - INSTRUMENT PNL</v>
          </cell>
          <cell r="F237" t="str">
            <v>유상 사급</v>
          </cell>
          <cell r="AZ237" t="str">
            <v>B</v>
          </cell>
          <cell r="BA237" t="str">
            <v>부전(주)</v>
          </cell>
        </row>
        <row r="238">
          <cell r="C238">
            <v>5168</v>
          </cell>
          <cell r="D238" t="str">
            <v>MB250435</v>
          </cell>
          <cell r="E238" t="str">
            <v xml:space="preserve"> REINF,NO4 BODY MT'G</v>
          </cell>
          <cell r="G238">
            <v>2</v>
          </cell>
          <cell r="AZ238" t="str">
            <v>B</v>
          </cell>
          <cell r="BA238" t="str">
            <v>부전(주)</v>
          </cell>
          <cell r="BB238" t="str">
            <v>H50A17K</v>
          </cell>
          <cell r="BD238" t="str">
            <v>K804</v>
          </cell>
          <cell r="BE238" t="str">
            <v>ALL</v>
          </cell>
          <cell r="BI238">
            <v>0</v>
          </cell>
          <cell r="BJ238">
            <v>0</v>
          </cell>
          <cell r="BK238">
            <v>0</v>
          </cell>
          <cell r="BL238">
            <v>0</v>
          </cell>
          <cell r="BM238"/>
          <cell r="BN238"/>
          <cell r="BO238"/>
          <cell r="BP238"/>
          <cell r="BQ238"/>
          <cell r="BR238"/>
          <cell r="BS238"/>
          <cell r="BT238"/>
          <cell r="BU238"/>
          <cell r="BV238"/>
          <cell r="BW238"/>
          <cell r="BX238"/>
          <cell r="BY238"/>
          <cell r="BZ238"/>
          <cell r="CA238"/>
          <cell r="CB238"/>
          <cell r="CC238"/>
          <cell r="CD238"/>
          <cell r="CE238"/>
          <cell r="CF238"/>
          <cell r="CG238"/>
          <cell r="CH238"/>
          <cell r="CI238"/>
          <cell r="CJ238"/>
          <cell r="CK238"/>
        </row>
        <row r="239">
          <cell r="C239">
            <v>692</v>
          </cell>
          <cell r="D239" t="str">
            <v>MB250479A</v>
          </cell>
          <cell r="E239" t="str">
            <v xml:space="preserve"> BRKT,JACK</v>
          </cell>
          <cell r="H239">
            <v>1</v>
          </cell>
          <cell r="L239">
            <v>1</v>
          </cell>
          <cell r="M239">
            <v>1</v>
          </cell>
          <cell r="N239">
            <v>1</v>
          </cell>
          <cell r="P239">
            <v>1</v>
          </cell>
          <cell r="R239">
            <v>1</v>
          </cell>
          <cell r="U239">
            <v>1</v>
          </cell>
          <cell r="W239">
            <v>1</v>
          </cell>
          <cell r="AB239">
            <v>1</v>
          </cell>
          <cell r="AC239">
            <v>1</v>
          </cell>
          <cell r="AD239">
            <v>1</v>
          </cell>
          <cell r="AF239">
            <v>1</v>
          </cell>
          <cell r="AG239"/>
          <cell r="AH239">
            <v>1</v>
          </cell>
          <cell r="AI239"/>
          <cell r="AJ239"/>
          <cell r="AK239"/>
          <cell r="AL239">
            <v>1</v>
          </cell>
          <cell r="AM239">
            <v>1</v>
          </cell>
          <cell r="AN239">
            <v>1</v>
          </cell>
          <cell r="AO239">
            <v>1</v>
          </cell>
          <cell r="AP239">
            <v>1</v>
          </cell>
          <cell r="AQ239"/>
          <cell r="AR239"/>
          <cell r="AS239"/>
          <cell r="AT239"/>
          <cell r="AU239"/>
          <cell r="AV239"/>
          <cell r="AW239">
            <v>1</v>
          </cell>
          <cell r="AX239"/>
          <cell r="AY239"/>
          <cell r="AZ239" t="str">
            <v>B</v>
          </cell>
          <cell r="BA239" t="str">
            <v>부전(주)</v>
          </cell>
          <cell r="BB239" t="str">
            <v>H50A17K</v>
          </cell>
          <cell r="BC239"/>
          <cell r="BD239" t="str">
            <v>K804</v>
          </cell>
          <cell r="BE239" t="str">
            <v>S/B</v>
          </cell>
          <cell r="BF239"/>
          <cell r="BG239"/>
          <cell r="BH239"/>
          <cell r="BI239">
            <v>49</v>
          </cell>
          <cell r="BJ239">
            <v>539</v>
          </cell>
          <cell r="BK239">
            <v>28</v>
          </cell>
          <cell r="BL239">
            <v>2</v>
          </cell>
          <cell r="BM239"/>
          <cell r="BN239"/>
          <cell r="BO239"/>
          <cell r="BP239"/>
          <cell r="BQ239"/>
          <cell r="BR239"/>
          <cell r="BS239"/>
          <cell r="BT239"/>
          <cell r="BU239"/>
          <cell r="BV239"/>
          <cell r="BW239"/>
          <cell r="BX239"/>
          <cell r="BY239"/>
          <cell r="BZ239"/>
          <cell r="CA239"/>
          <cell r="CB239"/>
          <cell r="CC239"/>
          <cell r="CD239"/>
          <cell r="CE239"/>
          <cell r="CF239"/>
          <cell r="CG239"/>
          <cell r="CH239"/>
          <cell r="CI239"/>
          <cell r="CJ239"/>
          <cell r="CK239"/>
          <cell r="CL239"/>
          <cell r="CM239"/>
          <cell r="CN239"/>
          <cell r="CO239"/>
          <cell r="CP239"/>
        </row>
        <row r="240">
          <cell r="C240">
            <v>2584</v>
          </cell>
          <cell r="D240" t="str">
            <v>MB250493A</v>
          </cell>
          <cell r="E240" t="str">
            <v xml:space="preserve"> BRKT,EVAP</v>
          </cell>
          <cell r="G240">
            <v>1</v>
          </cell>
          <cell r="AZ240" t="str">
            <v>B</v>
          </cell>
          <cell r="BA240" t="str">
            <v>부전(주)</v>
          </cell>
          <cell r="BB240" t="str">
            <v>H50A18K</v>
          </cell>
          <cell r="BD240" t="str">
            <v>K804</v>
          </cell>
          <cell r="BE240" t="str">
            <v>ALL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  <cell r="BM240"/>
          <cell r="BN240"/>
          <cell r="BO240"/>
          <cell r="BP240"/>
          <cell r="BQ240"/>
          <cell r="BR240"/>
          <cell r="BS240"/>
          <cell r="BT240"/>
          <cell r="BU240"/>
          <cell r="BV240"/>
          <cell r="BW240"/>
          <cell r="BX240"/>
          <cell r="BY240"/>
          <cell r="BZ240"/>
          <cell r="CA240"/>
          <cell r="CB240"/>
          <cell r="CC240"/>
          <cell r="CD240"/>
          <cell r="CE240"/>
          <cell r="CF240"/>
          <cell r="CG240"/>
          <cell r="CH240"/>
          <cell r="CI240"/>
          <cell r="CJ240"/>
          <cell r="CK240"/>
        </row>
        <row r="241">
          <cell r="C241">
            <v>2584</v>
          </cell>
          <cell r="D241" t="str">
            <v>MB250508A</v>
          </cell>
          <cell r="E241" t="str">
            <v xml:space="preserve"> BRKT,I/PNL,CTR</v>
          </cell>
          <cell r="G241">
            <v>1</v>
          </cell>
          <cell r="AZ241" t="str">
            <v>B</v>
          </cell>
          <cell r="BA241" t="str">
            <v>부전(주)</v>
          </cell>
          <cell r="BB241" t="str">
            <v>H50A18K</v>
          </cell>
          <cell r="BD241" t="str">
            <v>K804</v>
          </cell>
          <cell r="BE241" t="str">
            <v>ALL</v>
          </cell>
          <cell r="BI241">
            <v>0</v>
          </cell>
          <cell r="BJ241">
            <v>0</v>
          </cell>
          <cell r="BK241">
            <v>0</v>
          </cell>
          <cell r="BL241">
            <v>0</v>
          </cell>
          <cell r="BM241"/>
          <cell r="BN241"/>
          <cell r="BO241"/>
          <cell r="BP241"/>
          <cell r="BQ241"/>
          <cell r="BR241"/>
          <cell r="BS241"/>
          <cell r="BT241"/>
          <cell r="BU241"/>
          <cell r="BV241"/>
          <cell r="BW241"/>
          <cell r="BX241"/>
          <cell r="BY241"/>
          <cell r="BZ241"/>
          <cell r="CA241"/>
          <cell r="CB241"/>
          <cell r="CC241"/>
          <cell r="CD241"/>
          <cell r="CE241"/>
          <cell r="CF241"/>
          <cell r="CG241"/>
          <cell r="CH241"/>
          <cell r="CI241"/>
          <cell r="CJ241"/>
          <cell r="CK241"/>
        </row>
        <row r="242">
          <cell r="C242">
            <v>2584</v>
          </cell>
          <cell r="D242" t="str">
            <v>MB250523A</v>
          </cell>
          <cell r="E242" t="str">
            <v xml:space="preserve"> EXTENTION,COWL TOP LH</v>
          </cell>
          <cell r="G242">
            <v>1</v>
          </cell>
          <cell r="AZ242" t="str">
            <v>B</v>
          </cell>
          <cell r="BA242" t="str">
            <v>부전(주)</v>
          </cell>
          <cell r="BB242" t="str">
            <v>H50A18K</v>
          </cell>
          <cell r="BD242" t="str">
            <v>K804</v>
          </cell>
          <cell r="BE242" t="str">
            <v>ALL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  <cell r="BM242"/>
          <cell r="BN242"/>
          <cell r="BO242"/>
          <cell r="BP242"/>
          <cell r="BQ242"/>
          <cell r="BR242"/>
          <cell r="BS242"/>
          <cell r="BT242"/>
          <cell r="BU242"/>
          <cell r="BV242"/>
          <cell r="BW242"/>
          <cell r="BX242"/>
          <cell r="BY242"/>
          <cell r="BZ242"/>
          <cell r="CA242"/>
          <cell r="CB242"/>
          <cell r="CC242"/>
          <cell r="CD242"/>
          <cell r="CE242"/>
          <cell r="CF242"/>
          <cell r="CG242"/>
          <cell r="CH242"/>
          <cell r="CI242"/>
          <cell r="CJ242"/>
          <cell r="CK242"/>
        </row>
        <row r="243">
          <cell r="C243">
            <v>2584</v>
          </cell>
          <cell r="D243" t="str">
            <v>MB250524A</v>
          </cell>
          <cell r="E243" t="str">
            <v xml:space="preserve"> EXTENTION,COWL TOP RH</v>
          </cell>
          <cell r="G243">
            <v>1</v>
          </cell>
          <cell r="AZ243" t="str">
            <v>B</v>
          </cell>
          <cell r="BA243" t="str">
            <v>부전(주)</v>
          </cell>
          <cell r="BB243" t="str">
            <v>H50A18K</v>
          </cell>
          <cell r="BD243" t="str">
            <v>K804</v>
          </cell>
          <cell r="BE243" t="str">
            <v>ALL</v>
          </cell>
          <cell r="BI243">
            <v>0</v>
          </cell>
          <cell r="BJ243">
            <v>0</v>
          </cell>
          <cell r="BK243">
            <v>0</v>
          </cell>
          <cell r="BL243">
            <v>0</v>
          </cell>
          <cell r="BM243"/>
          <cell r="BN243"/>
          <cell r="BO243"/>
          <cell r="BP243"/>
          <cell r="BQ243"/>
          <cell r="BR243"/>
          <cell r="BS243"/>
          <cell r="BT243"/>
          <cell r="BU243"/>
          <cell r="BV243"/>
          <cell r="BW243"/>
          <cell r="BX243"/>
          <cell r="BY243"/>
          <cell r="BZ243"/>
          <cell r="CA243"/>
          <cell r="CB243"/>
          <cell r="CC243"/>
          <cell r="CD243"/>
          <cell r="CE243"/>
          <cell r="CF243"/>
          <cell r="CG243"/>
          <cell r="CH243"/>
          <cell r="CI243"/>
          <cell r="CJ243"/>
          <cell r="CK243"/>
        </row>
        <row r="244">
          <cell r="C244">
            <v>2584</v>
          </cell>
          <cell r="D244" t="str">
            <v>MB250533A</v>
          </cell>
          <cell r="E244" t="str">
            <v xml:space="preserve"> BRKT,I/PNL LH</v>
          </cell>
          <cell r="G244">
            <v>1</v>
          </cell>
          <cell r="AZ244" t="str">
            <v>B</v>
          </cell>
          <cell r="BA244" t="str">
            <v>부전(주)</v>
          </cell>
          <cell r="BB244" t="str">
            <v>H50A18K</v>
          </cell>
          <cell r="BD244" t="str">
            <v>K804</v>
          </cell>
          <cell r="BE244" t="str">
            <v>ALL</v>
          </cell>
          <cell r="BI244">
            <v>0</v>
          </cell>
          <cell r="BJ244">
            <v>0</v>
          </cell>
          <cell r="BK244">
            <v>0</v>
          </cell>
          <cell r="BL244">
            <v>0</v>
          </cell>
          <cell r="BM244"/>
          <cell r="BN244"/>
          <cell r="BO244"/>
          <cell r="BP244"/>
          <cell r="BQ244"/>
          <cell r="BR244"/>
          <cell r="BS244"/>
          <cell r="BT244"/>
          <cell r="BU244"/>
          <cell r="BV244"/>
          <cell r="BW244"/>
          <cell r="BX244"/>
          <cell r="BY244"/>
          <cell r="BZ244"/>
          <cell r="CA244"/>
          <cell r="CB244"/>
          <cell r="CC244"/>
          <cell r="CD244"/>
          <cell r="CE244"/>
          <cell r="CF244"/>
          <cell r="CG244"/>
          <cell r="CH244"/>
          <cell r="CI244"/>
          <cell r="CJ244"/>
          <cell r="CK244"/>
        </row>
        <row r="245">
          <cell r="C245">
            <v>2584</v>
          </cell>
          <cell r="D245" t="str">
            <v>MB250534A</v>
          </cell>
          <cell r="E245" t="str">
            <v xml:space="preserve"> BRKT,I/PNL RH</v>
          </cell>
          <cell r="G245">
            <v>1</v>
          </cell>
          <cell r="AZ245" t="str">
            <v>B</v>
          </cell>
          <cell r="BA245" t="str">
            <v>부전(주)</v>
          </cell>
          <cell r="BB245" t="str">
            <v>H50A18K</v>
          </cell>
          <cell r="BD245" t="str">
            <v>K804</v>
          </cell>
          <cell r="BE245" t="str">
            <v>ALL</v>
          </cell>
          <cell r="BI245">
            <v>0</v>
          </cell>
          <cell r="BJ245">
            <v>0</v>
          </cell>
          <cell r="BK245">
            <v>0</v>
          </cell>
          <cell r="BL245">
            <v>0</v>
          </cell>
          <cell r="BM245"/>
          <cell r="BN245"/>
          <cell r="BO245"/>
          <cell r="BP245"/>
          <cell r="BQ245"/>
          <cell r="BR245"/>
          <cell r="BS245"/>
          <cell r="BT245"/>
          <cell r="BU245"/>
          <cell r="BV245"/>
          <cell r="BW245"/>
          <cell r="BX245"/>
          <cell r="BY245"/>
          <cell r="BZ245"/>
          <cell r="CA245"/>
          <cell r="CB245"/>
          <cell r="CC245"/>
          <cell r="CD245"/>
          <cell r="CE245"/>
          <cell r="CF245"/>
          <cell r="CG245"/>
          <cell r="CH245"/>
          <cell r="CI245"/>
          <cell r="CJ245"/>
          <cell r="CK245"/>
        </row>
        <row r="246">
          <cell r="C246">
            <v>692</v>
          </cell>
          <cell r="D246" t="str">
            <v>MB250637</v>
          </cell>
          <cell r="E246" t="str">
            <v xml:space="preserve"> STRIKER TOOL BOX DOOR</v>
          </cell>
          <cell r="H246">
            <v>1</v>
          </cell>
          <cell r="L246">
            <v>1</v>
          </cell>
          <cell r="M246">
            <v>1</v>
          </cell>
          <cell r="N246">
            <v>1</v>
          </cell>
          <cell r="P246">
            <v>1</v>
          </cell>
          <cell r="R246">
            <v>1</v>
          </cell>
          <cell r="U246">
            <v>1</v>
          </cell>
          <cell r="W246">
            <v>1</v>
          </cell>
          <cell r="AB246">
            <v>1</v>
          </cell>
          <cell r="AC246">
            <v>1</v>
          </cell>
          <cell r="AD246">
            <v>1</v>
          </cell>
          <cell r="AF246">
            <v>1</v>
          </cell>
          <cell r="AG246"/>
          <cell r="AH246">
            <v>1</v>
          </cell>
          <cell r="AI246"/>
          <cell r="AJ246"/>
          <cell r="AK246"/>
          <cell r="AL246">
            <v>1</v>
          </cell>
          <cell r="AM246">
            <v>1</v>
          </cell>
          <cell r="AN246">
            <v>1</v>
          </cell>
          <cell r="AO246">
            <v>1</v>
          </cell>
          <cell r="AP246">
            <v>1</v>
          </cell>
          <cell r="AQ246"/>
          <cell r="AR246"/>
          <cell r="AS246"/>
          <cell r="AT246"/>
          <cell r="AU246"/>
          <cell r="AV246"/>
          <cell r="AW246">
            <v>1</v>
          </cell>
          <cell r="AX246"/>
          <cell r="AY246"/>
          <cell r="AZ246" t="str">
            <v>B</v>
          </cell>
          <cell r="BA246" t="str">
            <v>부전(주)</v>
          </cell>
          <cell r="BB246" t="str">
            <v>H50B38K</v>
          </cell>
          <cell r="BC246"/>
          <cell r="BD246" t="str">
            <v>K804</v>
          </cell>
          <cell r="BE246" t="str">
            <v>S/B</v>
          </cell>
          <cell r="BF246"/>
          <cell r="BG246"/>
          <cell r="BH246"/>
          <cell r="BI246">
            <v>49</v>
          </cell>
          <cell r="BJ246">
            <v>539</v>
          </cell>
          <cell r="BK246">
            <v>28</v>
          </cell>
          <cell r="BL246">
            <v>2</v>
          </cell>
          <cell r="BM246"/>
          <cell r="BN246"/>
          <cell r="BO246"/>
          <cell r="BP246"/>
          <cell r="BQ246"/>
          <cell r="BR246"/>
          <cell r="BS246"/>
          <cell r="BT246"/>
          <cell r="BU246"/>
          <cell r="BV246"/>
          <cell r="BW246"/>
          <cell r="BX246"/>
          <cell r="BY246"/>
          <cell r="BZ246"/>
          <cell r="CA246"/>
          <cell r="CB246"/>
          <cell r="CC246"/>
          <cell r="CD246"/>
          <cell r="CE246"/>
          <cell r="CF246"/>
          <cell r="CG246"/>
          <cell r="CH246"/>
          <cell r="CI246"/>
          <cell r="CJ246"/>
          <cell r="CK246"/>
          <cell r="CL246"/>
          <cell r="CM246"/>
          <cell r="CN246"/>
          <cell r="CO246"/>
          <cell r="CP246"/>
        </row>
        <row r="247">
          <cell r="C247">
            <v>2584</v>
          </cell>
          <cell r="D247" t="str">
            <v>MB250647</v>
          </cell>
          <cell r="E247" t="str">
            <v xml:space="preserve"> BRKT,SIDE LH</v>
          </cell>
          <cell r="G247">
            <v>1</v>
          </cell>
          <cell r="AZ247" t="str">
            <v>B</v>
          </cell>
          <cell r="BA247" t="str">
            <v>부전(주)</v>
          </cell>
          <cell r="BB247" t="str">
            <v>H50A15K</v>
          </cell>
          <cell r="BD247" t="str">
            <v>K804</v>
          </cell>
          <cell r="BE247" t="str">
            <v>ALL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/>
          <cell r="BN247"/>
          <cell r="BO247"/>
          <cell r="BP247"/>
          <cell r="BQ247"/>
          <cell r="BR247"/>
          <cell r="BS247"/>
          <cell r="BT247"/>
          <cell r="BU247"/>
          <cell r="BV247"/>
          <cell r="BW247"/>
          <cell r="BX247"/>
          <cell r="BY247"/>
          <cell r="BZ247"/>
          <cell r="CA247"/>
          <cell r="CB247"/>
          <cell r="CC247"/>
          <cell r="CD247"/>
          <cell r="CE247"/>
          <cell r="CF247"/>
          <cell r="CG247"/>
          <cell r="CH247"/>
          <cell r="CI247"/>
          <cell r="CJ247"/>
          <cell r="CK247"/>
        </row>
        <row r="248">
          <cell r="C248">
            <v>2584</v>
          </cell>
          <cell r="D248" t="str">
            <v>MB250648</v>
          </cell>
          <cell r="E248" t="str">
            <v xml:space="preserve"> BRKT,SIDE RH</v>
          </cell>
          <cell r="G248">
            <v>1</v>
          </cell>
          <cell r="AZ248" t="str">
            <v>B</v>
          </cell>
          <cell r="BA248" t="str">
            <v>부전(주)</v>
          </cell>
          <cell r="BB248" t="str">
            <v>H50A15K</v>
          </cell>
          <cell r="BD248" t="str">
            <v>K804</v>
          </cell>
          <cell r="BE248" t="str">
            <v>ALL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BM248"/>
          <cell r="BN248"/>
          <cell r="BO248"/>
          <cell r="BP248"/>
          <cell r="BQ248"/>
          <cell r="BR248"/>
          <cell r="BS248"/>
          <cell r="BT248"/>
          <cell r="BU248"/>
          <cell r="BV248"/>
          <cell r="BW248"/>
          <cell r="BX248"/>
          <cell r="BY248"/>
          <cell r="BZ248"/>
          <cell r="CA248"/>
          <cell r="CB248"/>
          <cell r="CC248"/>
          <cell r="CD248"/>
          <cell r="CE248"/>
          <cell r="CF248"/>
          <cell r="CG248"/>
          <cell r="CH248"/>
          <cell r="CI248"/>
          <cell r="CJ248"/>
          <cell r="CK248"/>
        </row>
        <row r="249">
          <cell r="C249">
            <v>692</v>
          </cell>
          <cell r="D249" t="str">
            <v>MB250667A</v>
          </cell>
          <cell r="E249" t="str">
            <v xml:space="preserve"> PATCH,CTR,PILLAR LH</v>
          </cell>
          <cell r="H249">
            <v>1</v>
          </cell>
          <cell r="L249">
            <v>1</v>
          </cell>
          <cell r="M249">
            <v>1</v>
          </cell>
          <cell r="N249">
            <v>1</v>
          </cell>
          <cell r="P249">
            <v>1</v>
          </cell>
          <cell r="R249">
            <v>1</v>
          </cell>
          <cell r="U249">
            <v>1</v>
          </cell>
          <cell r="W249">
            <v>1</v>
          </cell>
          <cell r="AB249">
            <v>1</v>
          </cell>
          <cell r="AC249">
            <v>1</v>
          </cell>
          <cell r="AD249">
            <v>1</v>
          </cell>
          <cell r="AF249">
            <v>1</v>
          </cell>
          <cell r="AG249"/>
          <cell r="AH249">
            <v>1</v>
          </cell>
          <cell r="AI249"/>
          <cell r="AJ249"/>
          <cell r="AK249"/>
          <cell r="AL249">
            <v>1</v>
          </cell>
          <cell r="AM249">
            <v>1</v>
          </cell>
          <cell r="AN249">
            <v>1</v>
          </cell>
          <cell r="AO249">
            <v>1</v>
          </cell>
          <cell r="AP249">
            <v>1</v>
          </cell>
          <cell r="AQ249"/>
          <cell r="AR249"/>
          <cell r="AS249"/>
          <cell r="AT249"/>
          <cell r="AU249"/>
          <cell r="AV249"/>
          <cell r="AW249">
            <v>1</v>
          </cell>
          <cell r="AX249"/>
          <cell r="AY249"/>
          <cell r="AZ249" t="str">
            <v>B</v>
          </cell>
          <cell r="BA249" t="str">
            <v>부전(주)</v>
          </cell>
          <cell r="BB249" t="str">
            <v>H50A17K</v>
          </cell>
          <cell r="BC249"/>
          <cell r="BD249" t="str">
            <v>K804</v>
          </cell>
          <cell r="BE249" t="str">
            <v>S/B</v>
          </cell>
          <cell r="BF249"/>
          <cell r="BG249"/>
          <cell r="BH249"/>
          <cell r="BI249">
            <v>49</v>
          </cell>
          <cell r="BJ249">
            <v>539</v>
          </cell>
          <cell r="BK249">
            <v>28</v>
          </cell>
          <cell r="BL249">
            <v>2</v>
          </cell>
          <cell r="BM249"/>
          <cell r="BN249"/>
          <cell r="BO249"/>
          <cell r="BP249"/>
          <cell r="BQ249"/>
          <cell r="BR249"/>
          <cell r="BS249"/>
          <cell r="BT249"/>
          <cell r="BU249"/>
          <cell r="BV249"/>
          <cell r="BW249"/>
          <cell r="BX249"/>
          <cell r="BY249"/>
          <cell r="BZ249"/>
          <cell r="CA249"/>
          <cell r="CB249"/>
          <cell r="CC249"/>
          <cell r="CD249"/>
          <cell r="CE249"/>
          <cell r="CF249"/>
          <cell r="CG249"/>
          <cell r="CH249"/>
          <cell r="CI249"/>
          <cell r="CJ249"/>
          <cell r="CK249"/>
          <cell r="CL249"/>
          <cell r="CM249"/>
          <cell r="CN249"/>
          <cell r="CO249"/>
          <cell r="CP249"/>
        </row>
        <row r="250">
          <cell r="C250">
            <v>692</v>
          </cell>
          <cell r="D250" t="str">
            <v>MB250668A</v>
          </cell>
          <cell r="E250" t="str">
            <v xml:space="preserve"> PATCH,CTR PILLAR RH</v>
          </cell>
          <cell r="H250">
            <v>1</v>
          </cell>
          <cell r="L250">
            <v>1</v>
          </cell>
          <cell r="M250">
            <v>1</v>
          </cell>
          <cell r="N250">
            <v>1</v>
          </cell>
          <cell r="P250">
            <v>1</v>
          </cell>
          <cell r="R250">
            <v>1</v>
          </cell>
          <cell r="U250">
            <v>1</v>
          </cell>
          <cell r="W250">
            <v>1</v>
          </cell>
          <cell r="AB250">
            <v>1</v>
          </cell>
          <cell r="AC250">
            <v>1</v>
          </cell>
          <cell r="AD250">
            <v>1</v>
          </cell>
          <cell r="AF250">
            <v>1</v>
          </cell>
          <cell r="AG250"/>
          <cell r="AH250">
            <v>1</v>
          </cell>
          <cell r="AI250"/>
          <cell r="AJ250"/>
          <cell r="AK250"/>
          <cell r="AL250">
            <v>1</v>
          </cell>
          <cell r="AM250">
            <v>1</v>
          </cell>
          <cell r="AN250">
            <v>1</v>
          </cell>
          <cell r="AO250">
            <v>1</v>
          </cell>
          <cell r="AP250">
            <v>1</v>
          </cell>
          <cell r="AQ250"/>
          <cell r="AR250"/>
          <cell r="AS250"/>
          <cell r="AT250"/>
          <cell r="AU250"/>
          <cell r="AV250"/>
          <cell r="AW250">
            <v>1</v>
          </cell>
          <cell r="AX250"/>
          <cell r="AY250"/>
          <cell r="AZ250" t="str">
            <v>B</v>
          </cell>
          <cell r="BA250" t="str">
            <v>부전(주)</v>
          </cell>
          <cell r="BB250" t="str">
            <v>H50A17K</v>
          </cell>
          <cell r="BC250"/>
          <cell r="BD250" t="str">
            <v>K804</v>
          </cell>
          <cell r="BE250" t="str">
            <v>S/B</v>
          </cell>
          <cell r="BF250"/>
          <cell r="BG250"/>
          <cell r="BH250"/>
          <cell r="BI250">
            <v>49</v>
          </cell>
          <cell r="BJ250">
            <v>539</v>
          </cell>
          <cell r="BK250">
            <v>28</v>
          </cell>
          <cell r="BL250">
            <v>2</v>
          </cell>
          <cell r="BM250"/>
          <cell r="BN250"/>
          <cell r="BO250"/>
          <cell r="BP250"/>
          <cell r="BQ250"/>
          <cell r="BR250"/>
          <cell r="BS250"/>
          <cell r="BT250"/>
          <cell r="BU250"/>
          <cell r="BV250"/>
          <cell r="BW250"/>
          <cell r="BX250"/>
          <cell r="BY250"/>
          <cell r="BZ250"/>
          <cell r="CA250"/>
          <cell r="CB250"/>
          <cell r="CC250"/>
          <cell r="CD250"/>
          <cell r="CE250"/>
          <cell r="CF250"/>
          <cell r="CG250"/>
          <cell r="CH250"/>
          <cell r="CI250"/>
          <cell r="CJ250"/>
          <cell r="CK250"/>
          <cell r="CL250"/>
          <cell r="CM250"/>
          <cell r="CN250"/>
          <cell r="CO250"/>
          <cell r="CP250"/>
        </row>
        <row r="251">
          <cell r="C251">
            <v>2584</v>
          </cell>
          <cell r="D251" t="str">
            <v>MB250696</v>
          </cell>
          <cell r="E251" t="str">
            <v xml:space="preserve"> BRKT,RAD SUPT RH</v>
          </cell>
          <cell r="G251">
            <v>1</v>
          </cell>
          <cell r="AZ251" t="str">
            <v>B</v>
          </cell>
          <cell r="BA251" t="str">
            <v>부전(주)</v>
          </cell>
          <cell r="BB251" t="str">
            <v>H50A15K</v>
          </cell>
          <cell r="BD251" t="str">
            <v>K804</v>
          </cell>
          <cell r="BE251" t="str">
            <v>ALL</v>
          </cell>
          <cell r="BI251">
            <v>0</v>
          </cell>
          <cell r="BJ251">
            <v>0</v>
          </cell>
          <cell r="BK251">
            <v>0</v>
          </cell>
          <cell r="BL251">
            <v>0</v>
          </cell>
          <cell r="BM251"/>
          <cell r="BN251"/>
          <cell r="BO251"/>
          <cell r="BP251"/>
          <cell r="BQ251"/>
          <cell r="BR251"/>
          <cell r="BS251"/>
          <cell r="BT251"/>
          <cell r="BU251"/>
          <cell r="BV251"/>
          <cell r="BW251"/>
          <cell r="BX251"/>
          <cell r="BY251"/>
          <cell r="BZ251"/>
          <cell r="CA251"/>
          <cell r="CB251"/>
          <cell r="CC251"/>
          <cell r="CD251"/>
          <cell r="CE251"/>
          <cell r="CF251"/>
          <cell r="CG251"/>
          <cell r="CH251"/>
          <cell r="CI251"/>
          <cell r="CJ251"/>
          <cell r="CK251"/>
        </row>
        <row r="252">
          <cell r="C252">
            <v>5384</v>
          </cell>
          <cell r="D252" t="str">
            <v>MB250782A</v>
          </cell>
          <cell r="E252" t="str">
            <v xml:space="preserve"> BRKT,ASSIST BOW</v>
          </cell>
          <cell r="H252">
            <v>2</v>
          </cell>
          <cell r="I252">
            <v>2</v>
          </cell>
          <cell r="J252">
            <v>2</v>
          </cell>
          <cell r="K252">
            <v>2</v>
          </cell>
          <cell r="L252">
            <v>2</v>
          </cell>
          <cell r="M252">
            <v>2</v>
          </cell>
          <cell r="N252">
            <v>2</v>
          </cell>
          <cell r="O252">
            <v>2</v>
          </cell>
          <cell r="P252">
            <v>2</v>
          </cell>
          <cell r="Q252">
            <v>2</v>
          </cell>
          <cell r="R252">
            <v>2</v>
          </cell>
          <cell r="S252">
            <v>2</v>
          </cell>
          <cell r="T252">
            <v>2</v>
          </cell>
          <cell r="U252">
            <v>2</v>
          </cell>
          <cell r="V252">
            <v>2</v>
          </cell>
          <cell r="W252">
            <v>2</v>
          </cell>
          <cell r="X252">
            <v>5</v>
          </cell>
          <cell r="Y252">
            <v>2</v>
          </cell>
          <cell r="Z252">
            <v>2</v>
          </cell>
          <cell r="AA252">
            <v>2</v>
          </cell>
          <cell r="AB252">
            <v>2</v>
          </cell>
          <cell r="AC252">
            <v>2</v>
          </cell>
          <cell r="AD252">
            <v>2</v>
          </cell>
          <cell r="AE252">
            <v>5</v>
          </cell>
          <cell r="AF252">
            <v>2</v>
          </cell>
          <cell r="AG252">
            <v>2</v>
          </cell>
          <cell r="AH252">
            <v>2</v>
          </cell>
          <cell r="AI252">
            <v>5</v>
          </cell>
          <cell r="AJ252">
            <v>2</v>
          </cell>
          <cell r="AK252">
            <v>2</v>
          </cell>
          <cell r="AL252">
            <v>2</v>
          </cell>
          <cell r="AM252">
            <v>2</v>
          </cell>
          <cell r="AN252">
            <v>2</v>
          </cell>
          <cell r="AO252">
            <v>2</v>
          </cell>
          <cell r="AP252">
            <v>2</v>
          </cell>
          <cell r="AQ252">
            <v>2</v>
          </cell>
          <cell r="AR252">
            <v>2</v>
          </cell>
          <cell r="AS252">
            <v>2</v>
          </cell>
          <cell r="AT252">
            <v>2</v>
          </cell>
          <cell r="AU252">
            <v>2</v>
          </cell>
          <cell r="AV252">
            <v>2</v>
          </cell>
          <cell r="AW252">
            <v>2</v>
          </cell>
          <cell r="AX252">
            <v>2</v>
          </cell>
          <cell r="AY252">
            <v>2</v>
          </cell>
          <cell r="AZ252" t="str">
            <v>B</v>
          </cell>
          <cell r="BA252" t="str">
            <v>부전(주)</v>
          </cell>
          <cell r="BB252" t="str">
            <v>H50A13K</v>
          </cell>
          <cell r="BD252" t="str">
            <v>K804</v>
          </cell>
          <cell r="BI252">
            <v>1874</v>
          </cell>
          <cell r="BJ252">
            <v>2000</v>
          </cell>
          <cell r="BK252">
            <v>395</v>
          </cell>
          <cell r="BL252">
            <v>204</v>
          </cell>
          <cell r="BM252"/>
          <cell r="BN252"/>
          <cell r="BO252"/>
          <cell r="BP252"/>
          <cell r="BQ252"/>
          <cell r="BR252"/>
          <cell r="BS252"/>
          <cell r="BT252"/>
          <cell r="BU252"/>
          <cell r="BV252"/>
          <cell r="BW252"/>
          <cell r="BX252"/>
          <cell r="BY252"/>
          <cell r="BZ252"/>
          <cell r="CA252"/>
          <cell r="CB252"/>
          <cell r="CC252"/>
          <cell r="CD252"/>
          <cell r="CE252"/>
          <cell r="CF252"/>
          <cell r="CG252"/>
          <cell r="CH252"/>
          <cell r="CI252"/>
          <cell r="CJ252"/>
        </row>
        <row r="253">
          <cell r="C253">
            <v>7752</v>
          </cell>
          <cell r="D253" t="str">
            <v>MB250782A</v>
          </cell>
          <cell r="E253" t="str">
            <v xml:space="preserve"> BRKT,ASSIST BOW</v>
          </cell>
          <cell r="G253">
            <v>3</v>
          </cell>
          <cell r="AZ253" t="str">
            <v>B</v>
          </cell>
          <cell r="BA253" t="str">
            <v>부전(주)</v>
          </cell>
          <cell r="BB253" t="str">
            <v>H50A18K</v>
          </cell>
          <cell r="BD253" t="str">
            <v>K804</v>
          </cell>
          <cell r="BE253" t="str">
            <v>ALL</v>
          </cell>
          <cell r="BI253">
            <v>0</v>
          </cell>
          <cell r="BJ253">
            <v>0</v>
          </cell>
          <cell r="BK253">
            <v>0</v>
          </cell>
          <cell r="BL253">
            <v>0</v>
          </cell>
          <cell r="BM253"/>
          <cell r="BN253"/>
          <cell r="BO253"/>
          <cell r="BP253"/>
          <cell r="BQ253"/>
          <cell r="BR253"/>
          <cell r="BS253"/>
          <cell r="BT253"/>
          <cell r="BU253"/>
          <cell r="BV253"/>
          <cell r="BW253"/>
          <cell r="BX253"/>
          <cell r="BY253"/>
          <cell r="BZ253"/>
          <cell r="CA253"/>
          <cell r="CB253"/>
          <cell r="CC253"/>
          <cell r="CD253"/>
          <cell r="CE253"/>
          <cell r="CF253"/>
          <cell r="CG253"/>
          <cell r="CH253"/>
          <cell r="CI253"/>
          <cell r="CJ253"/>
          <cell r="CK253"/>
        </row>
        <row r="254">
          <cell r="C254">
            <v>1384</v>
          </cell>
          <cell r="D254" t="str">
            <v>MB250881A</v>
          </cell>
          <cell r="E254" t="str">
            <v xml:space="preserve"> REINF,R/SEAT BELT,LWR</v>
          </cell>
          <cell r="H254">
            <v>2</v>
          </cell>
          <cell r="L254">
            <v>2</v>
          </cell>
          <cell r="M254">
            <v>2</v>
          </cell>
          <cell r="N254">
            <v>2</v>
          </cell>
          <cell r="P254">
            <v>2</v>
          </cell>
          <cell r="R254">
            <v>2</v>
          </cell>
          <cell r="U254">
            <v>2</v>
          </cell>
          <cell r="W254">
            <v>2</v>
          </cell>
          <cell r="AB254">
            <v>2</v>
          </cell>
          <cell r="AC254">
            <v>2</v>
          </cell>
          <cell r="AD254">
            <v>2</v>
          </cell>
          <cell r="AF254">
            <v>2</v>
          </cell>
          <cell r="AG254"/>
          <cell r="AH254">
            <v>2</v>
          </cell>
          <cell r="AI254"/>
          <cell r="AJ254"/>
          <cell r="AK254"/>
          <cell r="AL254">
            <v>2</v>
          </cell>
          <cell r="AM254">
            <v>2</v>
          </cell>
          <cell r="AN254">
            <v>2</v>
          </cell>
          <cell r="AO254">
            <v>2</v>
          </cell>
          <cell r="AP254">
            <v>2</v>
          </cell>
          <cell r="AQ254"/>
          <cell r="AR254"/>
          <cell r="AS254"/>
          <cell r="AT254"/>
          <cell r="AU254"/>
          <cell r="AV254"/>
          <cell r="AW254">
            <v>2</v>
          </cell>
          <cell r="AX254"/>
          <cell r="AY254"/>
          <cell r="AZ254" t="str">
            <v>B</v>
          </cell>
          <cell r="BA254" t="str">
            <v>부전(주)</v>
          </cell>
          <cell r="BB254" t="str">
            <v>H50A17K</v>
          </cell>
          <cell r="BC254"/>
          <cell r="BD254" t="str">
            <v>K804</v>
          </cell>
          <cell r="BE254" t="str">
            <v>S/B</v>
          </cell>
          <cell r="BF254"/>
          <cell r="BG254"/>
          <cell r="BH254"/>
          <cell r="BI254">
            <v>98</v>
          </cell>
          <cell r="BJ254">
            <v>1078</v>
          </cell>
          <cell r="BK254">
            <v>56</v>
          </cell>
          <cell r="BL254">
            <v>4</v>
          </cell>
          <cell r="BM254"/>
          <cell r="BN254"/>
          <cell r="BO254"/>
          <cell r="BP254"/>
          <cell r="BQ254"/>
          <cell r="BR254"/>
          <cell r="BS254"/>
          <cell r="BT254"/>
          <cell r="BU254"/>
          <cell r="BV254"/>
          <cell r="BW254"/>
          <cell r="BX254"/>
          <cell r="BY254"/>
          <cell r="BZ254"/>
          <cell r="CA254"/>
          <cell r="CB254"/>
          <cell r="CC254"/>
          <cell r="CD254"/>
          <cell r="CE254"/>
          <cell r="CF254"/>
          <cell r="CG254"/>
          <cell r="CH254"/>
          <cell r="CI254"/>
          <cell r="CJ254"/>
          <cell r="CK254"/>
          <cell r="CL254"/>
          <cell r="CM254"/>
          <cell r="CN254"/>
          <cell r="CO254"/>
          <cell r="CP254"/>
        </row>
        <row r="255">
          <cell r="C255">
            <v>692</v>
          </cell>
          <cell r="D255" t="str">
            <v>MB250887A</v>
          </cell>
          <cell r="E255" t="str">
            <v xml:space="preserve"> COVER,SIDE,RR LH</v>
          </cell>
          <cell r="H255">
            <v>1</v>
          </cell>
          <cell r="L255">
            <v>1</v>
          </cell>
          <cell r="M255">
            <v>1</v>
          </cell>
          <cell r="N255">
            <v>1</v>
          </cell>
          <cell r="P255">
            <v>1</v>
          </cell>
          <cell r="R255">
            <v>1</v>
          </cell>
          <cell r="U255">
            <v>1</v>
          </cell>
          <cell r="W255">
            <v>1</v>
          </cell>
          <cell r="AB255">
            <v>1</v>
          </cell>
          <cell r="AC255">
            <v>1</v>
          </cell>
          <cell r="AD255">
            <v>1</v>
          </cell>
          <cell r="AF255">
            <v>1</v>
          </cell>
          <cell r="AG255"/>
          <cell r="AH255">
            <v>1</v>
          </cell>
          <cell r="AI255"/>
          <cell r="AJ255"/>
          <cell r="AK255"/>
          <cell r="AL255">
            <v>1</v>
          </cell>
          <cell r="AM255">
            <v>1</v>
          </cell>
          <cell r="AN255">
            <v>1</v>
          </cell>
          <cell r="AO255">
            <v>1</v>
          </cell>
          <cell r="AP255">
            <v>1</v>
          </cell>
          <cell r="AQ255"/>
          <cell r="AR255"/>
          <cell r="AS255"/>
          <cell r="AT255"/>
          <cell r="AU255"/>
          <cell r="AV255"/>
          <cell r="AW255">
            <v>1</v>
          </cell>
          <cell r="AX255"/>
          <cell r="AY255"/>
          <cell r="AZ255" t="str">
            <v>B</v>
          </cell>
          <cell r="BA255" t="str">
            <v>부전(주)</v>
          </cell>
          <cell r="BB255" t="str">
            <v>H50A17K</v>
          </cell>
          <cell r="BC255"/>
          <cell r="BD255" t="str">
            <v>K804</v>
          </cell>
          <cell r="BE255" t="str">
            <v>S/B</v>
          </cell>
          <cell r="BF255"/>
          <cell r="BG255"/>
          <cell r="BH255"/>
          <cell r="BI255">
            <v>49</v>
          </cell>
          <cell r="BJ255">
            <v>539</v>
          </cell>
          <cell r="BK255">
            <v>28</v>
          </cell>
          <cell r="BL255">
            <v>2</v>
          </cell>
          <cell r="BM255"/>
          <cell r="BN255"/>
          <cell r="BO255"/>
          <cell r="BP255"/>
          <cell r="BQ255"/>
          <cell r="BR255"/>
          <cell r="BS255"/>
          <cell r="BT255"/>
          <cell r="BU255"/>
          <cell r="BV255"/>
          <cell r="BW255"/>
          <cell r="BX255"/>
          <cell r="BY255"/>
          <cell r="BZ255"/>
          <cell r="CA255"/>
          <cell r="CB255"/>
          <cell r="CC255"/>
          <cell r="CD255"/>
          <cell r="CE255"/>
          <cell r="CF255"/>
          <cell r="CG255"/>
          <cell r="CH255"/>
          <cell r="CI255"/>
          <cell r="CJ255"/>
          <cell r="CK255"/>
          <cell r="CL255"/>
          <cell r="CM255"/>
          <cell r="CN255"/>
          <cell r="CO255"/>
          <cell r="CP255"/>
        </row>
        <row r="256">
          <cell r="C256">
            <v>692</v>
          </cell>
          <cell r="D256" t="str">
            <v>MB250891</v>
          </cell>
          <cell r="E256" t="str">
            <v xml:space="preserve"> COVER,RR END,CORNER LH</v>
          </cell>
          <cell r="H256">
            <v>1</v>
          </cell>
          <cell r="L256">
            <v>1</v>
          </cell>
          <cell r="M256">
            <v>1</v>
          </cell>
          <cell r="N256">
            <v>1</v>
          </cell>
          <cell r="P256">
            <v>1</v>
          </cell>
          <cell r="R256">
            <v>1</v>
          </cell>
          <cell r="U256">
            <v>1</v>
          </cell>
          <cell r="W256">
            <v>1</v>
          </cell>
          <cell r="AB256">
            <v>1</v>
          </cell>
          <cell r="AC256">
            <v>1</v>
          </cell>
          <cell r="AD256">
            <v>1</v>
          </cell>
          <cell r="AF256">
            <v>1</v>
          </cell>
          <cell r="AG256"/>
          <cell r="AH256">
            <v>1</v>
          </cell>
          <cell r="AI256"/>
          <cell r="AJ256"/>
          <cell r="AK256"/>
          <cell r="AL256">
            <v>1</v>
          </cell>
          <cell r="AM256">
            <v>1</v>
          </cell>
          <cell r="AN256">
            <v>1</v>
          </cell>
          <cell r="AO256">
            <v>1</v>
          </cell>
          <cell r="AP256">
            <v>1</v>
          </cell>
          <cell r="AQ256"/>
          <cell r="AR256"/>
          <cell r="AS256"/>
          <cell r="AT256"/>
          <cell r="AU256"/>
          <cell r="AV256"/>
          <cell r="AW256">
            <v>1</v>
          </cell>
          <cell r="AX256"/>
          <cell r="AY256"/>
          <cell r="AZ256" t="str">
            <v>B</v>
          </cell>
          <cell r="BA256" t="str">
            <v>부전(주)</v>
          </cell>
          <cell r="BB256" t="str">
            <v>H50A17K</v>
          </cell>
          <cell r="BC256"/>
          <cell r="BD256" t="str">
            <v>K804</v>
          </cell>
          <cell r="BE256" t="str">
            <v>S/B</v>
          </cell>
          <cell r="BF256"/>
          <cell r="BG256"/>
          <cell r="BH256"/>
          <cell r="BI256">
            <v>49</v>
          </cell>
          <cell r="BJ256">
            <v>539</v>
          </cell>
          <cell r="BK256">
            <v>28</v>
          </cell>
          <cell r="BL256">
            <v>2</v>
          </cell>
          <cell r="BM256"/>
          <cell r="BN256"/>
          <cell r="BO256"/>
          <cell r="BP256"/>
          <cell r="BQ256"/>
          <cell r="BR256"/>
          <cell r="BS256"/>
          <cell r="BT256"/>
          <cell r="BU256"/>
          <cell r="BV256"/>
          <cell r="BW256"/>
          <cell r="BX256"/>
          <cell r="BY256"/>
          <cell r="BZ256"/>
          <cell r="CA256"/>
          <cell r="CB256"/>
          <cell r="CC256"/>
          <cell r="CD256"/>
          <cell r="CE256"/>
          <cell r="CF256"/>
          <cell r="CG256"/>
          <cell r="CH256"/>
          <cell r="CI256"/>
          <cell r="CJ256"/>
          <cell r="CK256"/>
          <cell r="CL256"/>
          <cell r="CM256"/>
          <cell r="CN256"/>
          <cell r="CO256"/>
          <cell r="CP256"/>
        </row>
        <row r="257">
          <cell r="C257">
            <v>692</v>
          </cell>
          <cell r="D257" t="str">
            <v>MB250892</v>
          </cell>
          <cell r="E257" t="str">
            <v xml:space="preserve"> COVER,RR END,CORNER RH</v>
          </cell>
          <cell r="H257">
            <v>1</v>
          </cell>
          <cell r="L257">
            <v>1</v>
          </cell>
          <cell r="M257">
            <v>1</v>
          </cell>
          <cell r="N257">
            <v>1</v>
          </cell>
          <cell r="P257">
            <v>1</v>
          </cell>
          <cell r="R257">
            <v>1</v>
          </cell>
          <cell r="U257">
            <v>1</v>
          </cell>
          <cell r="W257">
            <v>1</v>
          </cell>
          <cell r="AB257">
            <v>1</v>
          </cell>
          <cell r="AC257">
            <v>1</v>
          </cell>
          <cell r="AD257">
            <v>1</v>
          </cell>
          <cell r="AF257">
            <v>1</v>
          </cell>
          <cell r="AG257"/>
          <cell r="AH257">
            <v>1</v>
          </cell>
          <cell r="AI257"/>
          <cell r="AJ257"/>
          <cell r="AK257"/>
          <cell r="AL257">
            <v>1</v>
          </cell>
          <cell r="AM257">
            <v>1</v>
          </cell>
          <cell r="AN257">
            <v>1</v>
          </cell>
          <cell r="AO257">
            <v>1</v>
          </cell>
          <cell r="AP257">
            <v>1</v>
          </cell>
          <cell r="AQ257"/>
          <cell r="AR257"/>
          <cell r="AS257"/>
          <cell r="AT257"/>
          <cell r="AU257"/>
          <cell r="AV257"/>
          <cell r="AW257">
            <v>1</v>
          </cell>
          <cell r="AX257"/>
          <cell r="AY257"/>
          <cell r="AZ257" t="str">
            <v>B</v>
          </cell>
          <cell r="BA257" t="str">
            <v>부전(주)</v>
          </cell>
          <cell r="BB257" t="str">
            <v>H50A17K</v>
          </cell>
          <cell r="BC257"/>
          <cell r="BD257" t="str">
            <v>K804</v>
          </cell>
          <cell r="BE257" t="str">
            <v>S/B</v>
          </cell>
          <cell r="BF257"/>
          <cell r="BG257"/>
          <cell r="BH257"/>
          <cell r="BI257">
            <v>49</v>
          </cell>
          <cell r="BJ257">
            <v>539</v>
          </cell>
          <cell r="BK257">
            <v>28</v>
          </cell>
          <cell r="BL257">
            <v>2</v>
          </cell>
          <cell r="BM257"/>
          <cell r="BN257"/>
          <cell r="BO257"/>
          <cell r="BP257"/>
          <cell r="BQ257"/>
          <cell r="BR257"/>
          <cell r="BS257"/>
          <cell r="BT257"/>
          <cell r="BU257"/>
          <cell r="BV257"/>
          <cell r="BW257"/>
          <cell r="BX257"/>
          <cell r="BY257"/>
          <cell r="BZ257"/>
          <cell r="CA257"/>
          <cell r="CB257"/>
          <cell r="CC257"/>
          <cell r="CD257"/>
          <cell r="CE257"/>
          <cell r="CF257"/>
          <cell r="CG257"/>
          <cell r="CH257"/>
          <cell r="CI257"/>
          <cell r="CJ257"/>
          <cell r="CK257"/>
          <cell r="CL257"/>
          <cell r="CM257"/>
          <cell r="CN257"/>
          <cell r="CO257"/>
          <cell r="CP257"/>
        </row>
        <row r="258">
          <cell r="C258">
            <v>2076</v>
          </cell>
          <cell r="D258" t="str">
            <v>MB250898A</v>
          </cell>
          <cell r="E258" t="str">
            <v xml:space="preserve"> BRKT,RR WASHER TANK</v>
          </cell>
          <cell r="H258">
            <v>3</v>
          </cell>
          <cell r="L258">
            <v>3</v>
          </cell>
          <cell r="M258">
            <v>3</v>
          </cell>
          <cell r="N258">
            <v>3</v>
          </cell>
          <cell r="P258">
            <v>3</v>
          </cell>
          <cell r="R258">
            <v>3</v>
          </cell>
          <cell r="U258">
            <v>3</v>
          </cell>
          <cell r="W258">
            <v>3</v>
          </cell>
          <cell r="AB258">
            <v>3</v>
          </cell>
          <cell r="AC258">
            <v>3</v>
          </cell>
          <cell r="AD258">
            <v>3</v>
          </cell>
          <cell r="AF258">
            <v>3</v>
          </cell>
          <cell r="AG258"/>
          <cell r="AH258">
            <v>3</v>
          </cell>
          <cell r="AI258"/>
          <cell r="AJ258"/>
          <cell r="AK258"/>
          <cell r="AL258">
            <v>3</v>
          </cell>
          <cell r="AM258">
            <v>3</v>
          </cell>
          <cell r="AN258">
            <v>3</v>
          </cell>
          <cell r="AO258">
            <v>3</v>
          </cell>
          <cell r="AP258">
            <v>3</v>
          </cell>
          <cell r="AQ258"/>
          <cell r="AR258"/>
          <cell r="AS258"/>
          <cell r="AT258"/>
          <cell r="AU258"/>
          <cell r="AV258"/>
          <cell r="AW258">
            <v>3</v>
          </cell>
          <cell r="AX258"/>
          <cell r="AY258"/>
          <cell r="AZ258" t="str">
            <v>B</v>
          </cell>
          <cell r="BA258" t="str">
            <v>부전(주)</v>
          </cell>
          <cell r="BB258" t="str">
            <v>H50A17K</v>
          </cell>
          <cell r="BC258"/>
          <cell r="BD258" t="str">
            <v>K804</v>
          </cell>
          <cell r="BE258" t="str">
            <v>S/B</v>
          </cell>
          <cell r="BF258"/>
          <cell r="BG258"/>
          <cell r="BH258"/>
          <cell r="BI258">
            <v>147</v>
          </cell>
          <cell r="BJ258">
            <v>1617</v>
          </cell>
          <cell r="BK258">
            <v>84</v>
          </cell>
          <cell r="BL258">
            <v>6</v>
          </cell>
          <cell r="BM258"/>
          <cell r="BN258"/>
          <cell r="BO258"/>
          <cell r="BP258"/>
          <cell r="BQ258"/>
          <cell r="BR258"/>
          <cell r="BS258"/>
          <cell r="BT258"/>
          <cell r="BU258"/>
          <cell r="BV258"/>
          <cell r="BW258"/>
          <cell r="BX258"/>
          <cell r="BY258"/>
          <cell r="BZ258"/>
          <cell r="CA258"/>
          <cell r="CB258"/>
          <cell r="CC258"/>
          <cell r="CD258"/>
          <cell r="CE258"/>
          <cell r="CF258"/>
          <cell r="CG258"/>
          <cell r="CH258"/>
          <cell r="CI258"/>
          <cell r="CJ258"/>
          <cell r="CK258"/>
          <cell r="CL258"/>
          <cell r="CM258"/>
          <cell r="CN258"/>
          <cell r="CO258"/>
          <cell r="CP258"/>
        </row>
        <row r="259">
          <cell r="C259">
            <v>2584</v>
          </cell>
          <cell r="D259" t="str">
            <v>MB250929</v>
          </cell>
          <cell r="E259" t="str">
            <v xml:space="preserve"> REINF,B/DR HINGE</v>
          </cell>
          <cell r="G259">
            <v>1</v>
          </cell>
          <cell r="AZ259" t="str">
            <v>B</v>
          </cell>
          <cell r="BA259" t="str">
            <v>부전(주)</v>
          </cell>
          <cell r="BB259" t="str">
            <v>H50A17K</v>
          </cell>
          <cell r="BD259" t="str">
            <v>K804</v>
          </cell>
          <cell r="BE259" t="str">
            <v>ALL</v>
          </cell>
          <cell r="BI259">
            <v>0</v>
          </cell>
          <cell r="BJ259">
            <v>0</v>
          </cell>
          <cell r="BK259">
            <v>0</v>
          </cell>
          <cell r="BL259">
            <v>0</v>
          </cell>
          <cell r="BM259"/>
          <cell r="BN259"/>
          <cell r="BO259"/>
          <cell r="BP259"/>
          <cell r="BQ259"/>
          <cell r="BR259"/>
          <cell r="BS259"/>
          <cell r="BT259"/>
          <cell r="BU259"/>
          <cell r="BV259"/>
          <cell r="BW259"/>
          <cell r="BX259"/>
          <cell r="BY259"/>
          <cell r="BZ259"/>
          <cell r="CA259"/>
          <cell r="CB259"/>
          <cell r="CC259"/>
          <cell r="CD259"/>
          <cell r="CE259"/>
          <cell r="CF259"/>
          <cell r="CG259"/>
          <cell r="CH259"/>
          <cell r="CI259"/>
          <cell r="CJ259"/>
          <cell r="CK259"/>
        </row>
        <row r="260">
          <cell r="C260">
            <v>1118</v>
          </cell>
          <cell r="D260" t="str">
            <v>MB250931</v>
          </cell>
          <cell r="E260" t="str">
            <v xml:space="preserve"> COVER,RR END INR</v>
          </cell>
          <cell r="H260">
            <v>2</v>
          </cell>
          <cell r="I260">
            <v>2</v>
          </cell>
          <cell r="R260">
            <v>2</v>
          </cell>
          <cell r="AB260">
            <v>2</v>
          </cell>
          <cell r="AF260">
            <v>2</v>
          </cell>
          <cell r="AG260">
            <v>2</v>
          </cell>
          <cell r="AH260"/>
          <cell r="AI260"/>
          <cell r="AJ260"/>
          <cell r="AK260"/>
          <cell r="AL260"/>
          <cell r="AM260"/>
          <cell r="AN260"/>
          <cell r="AO260"/>
          <cell r="AP260"/>
          <cell r="AQ260"/>
          <cell r="AR260"/>
          <cell r="AS260"/>
          <cell r="AT260"/>
          <cell r="AU260"/>
          <cell r="AV260"/>
          <cell r="AW260"/>
          <cell r="AX260"/>
          <cell r="AY260"/>
          <cell r="AZ260" t="str">
            <v>T</v>
          </cell>
          <cell r="BA260" t="str">
            <v>부전(주)</v>
          </cell>
          <cell r="BB260" t="str">
            <v>H50C39K</v>
          </cell>
          <cell r="BC260"/>
          <cell r="BD260" t="str">
            <v>K804</v>
          </cell>
          <cell r="BE260" t="str">
            <v>STD</v>
          </cell>
          <cell r="BF260"/>
          <cell r="BG260"/>
          <cell r="BH260"/>
          <cell r="BI260" t="e">
            <v>#REF!</v>
          </cell>
          <cell r="BJ260" t="e">
            <v>#REF!</v>
          </cell>
          <cell r="BK260" t="e">
            <v>#REF!</v>
          </cell>
          <cell r="BL260" t="e">
            <v>#REF!</v>
          </cell>
          <cell r="BM260"/>
          <cell r="BN260"/>
          <cell r="BO260"/>
          <cell r="BP260"/>
          <cell r="BQ260"/>
          <cell r="BR260"/>
          <cell r="BS260"/>
          <cell r="BT260"/>
          <cell r="BU260"/>
          <cell r="BV260"/>
          <cell r="BW260"/>
          <cell r="BX260"/>
          <cell r="BY260"/>
          <cell r="BZ260"/>
          <cell r="CA260"/>
          <cell r="CB260"/>
          <cell r="CC260"/>
          <cell r="CD260"/>
          <cell r="CE260"/>
          <cell r="CF260"/>
          <cell r="CG260"/>
          <cell r="CH260"/>
          <cell r="CI260"/>
          <cell r="CJ260"/>
          <cell r="CK260"/>
          <cell r="CL260"/>
          <cell r="CM260"/>
          <cell r="CN260"/>
        </row>
        <row r="261">
          <cell r="C261">
            <v>2584</v>
          </cell>
          <cell r="D261" t="str">
            <v>MB250932</v>
          </cell>
          <cell r="E261" t="str">
            <v xml:space="preserve"> REINF,B/DR CHECK</v>
          </cell>
          <cell r="G261">
            <v>1</v>
          </cell>
          <cell r="AZ261" t="str">
            <v>B</v>
          </cell>
          <cell r="BA261" t="str">
            <v>부전(주)</v>
          </cell>
          <cell r="BB261" t="str">
            <v>H50A17K</v>
          </cell>
          <cell r="BD261" t="str">
            <v>K804</v>
          </cell>
          <cell r="BE261" t="str">
            <v>ALL</v>
          </cell>
          <cell r="BI261">
            <v>0</v>
          </cell>
          <cell r="BJ261">
            <v>0</v>
          </cell>
          <cell r="BK261">
            <v>0</v>
          </cell>
          <cell r="BL261">
            <v>0</v>
          </cell>
          <cell r="BM261"/>
          <cell r="BN261"/>
          <cell r="BO261"/>
          <cell r="BP261"/>
          <cell r="BQ261"/>
          <cell r="BR261"/>
          <cell r="BS261"/>
          <cell r="BT261"/>
          <cell r="BU261"/>
          <cell r="BV261"/>
          <cell r="BW261"/>
          <cell r="BX261"/>
          <cell r="BY261"/>
          <cell r="BZ261"/>
          <cell r="CA261"/>
          <cell r="CB261"/>
          <cell r="CC261"/>
          <cell r="CD261"/>
          <cell r="CE261"/>
          <cell r="CF261"/>
          <cell r="CG261"/>
          <cell r="CH261"/>
          <cell r="CI261"/>
          <cell r="CJ261"/>
          <cell r="CK261"/>
        </row>
        <row r="262">
          <cell r="C262">
            <v>2584</v>
          </cell>
          <cell r="D262" t="str">
            <v>MB250933</v>
          </cell>
          <cell r="E262" t="str">
            <v xml:space="preserve"> REINF,B/DR HINGE,LWR</v>
          </cell>
          <cell r="G262">
            <v>1</v>
          </cell>
          <cell r="AZ262" t="str">
            <v>B</v>
          </cell>
          <cell r="BA262" t="str">
            <v>부전(주)</v>
          </cell>
          <cell r="BB262" t="str">
            <v>H50A17K</v>
          </cell>
          <cell r="BD262" t="str">
            <v>K804</v>
          </cell>
          <cell r="BE262" t="str">
            <v>ALL</v>
          </cell>
          <cell r="BI262">
            <v>0</v>
          </cell>
          <cell r="BJ262">
            <v>0</v>
          </cell>
          <cell r="BK262">
            <v>0</v>
          </cell>
          <cell r="BL262">
            <v>0</v>
          </cell>
          <cell r="BM262"/>
          <cell r="BN262"/>
          <cell r="BO262"/>
          <cell r="BP262"/>
          <cell r="BQ262"/>
          <cell r="BR262"/>
          <cell r="BS262"/>
          <cell r="BT262"/>
          <cell r="BU262"/>
          <cell r="BV262"/>
          <cell r="BW262"/>
          <cell r="BX262"/>
          <cell r="BY262"/>
          <cell r="BZ262"/>
          <cell r="CA262"/>
          <cell r="CB262"/>
          <cell r="CC262"/>
          <cell r="CD262"/>
          <cell r="CE262"/>
          <cell r="CF262"/>
          <cell r="CG262"/>
          <cell r="CH262"/>
          <cell r="CI262"/>
          <cell r="CJ262"/>
          <cell r="CK262"/>
        </row>
        <row r="263">
          <cell r="C263">
            <v>1384</v>
          </cell>
          <cell r="D263" t="str">
            <v>MB250935A</v>
          </cell>
          <cell r="E263" t="str">
            <v xml:space="preserve"> BRKT,RR S/BELT,LWR</v>
          </cell>
          <cell r="H263">
            <v>2</v>
          </cell>
          <cell r="L263">
            <v>2</v>
          </cell>
          <cell r="M263">
            <v>2</v>
          </cell>
          <cell r="N263">
            <v>2</v>
          </cell>
          <cell r="P263">
            <v>2</v>
          </cell>
          <cell r="R263">
            <v>2</v>
          </cell>
          <cell r="U263">
            <v>2</v>
          </cell>
          <cell r="W263">
            <v>2</v>
          </cell>
          <cell r="AB263">
            <v>2</v>
          </cell>
          <cell r="AC263">
            <v>2</v>
          </cell>
          <cell r="AD263">
            <v>2</v>
          </cell>
          <cell r="AF263">
            <v>2</v>
          </cell>
          <cell r="AG263"/>
          <cell r="AH263">
            <v>2</v>
          </cell>
          <cell r="AI263"/>
          <cell r="AJ263"/>
          <cell r="AK263"/>
          <cell r="AL263">
            <v>2</v>
          </cell>
          <cell r="AM263">
            <v>2</v>
          </cell>
          <cell r="AN263">
            <v>2</v>
          </cell>
          <cell r="AO263">
            <v>2</v>
          </cell>
          <cell r="AP263">
            <v>2</v>
          </cell>
          <cell r="AQ263"/>
          <cell r="AR263"/>
          <cell r="AS263"/>
          <cell r="AT263"/>
          <cell r="AU263"/>
          <cell r="AV263"/>
          <cell r="AW263">
            <v>2</v>
          </cell>
          <cell r="AX263"/>
          <cell r="AY263"/>
          <cell r="AZ263" t="str">
            <v>B</v>
          </cell>
          <cell r="BA263" t="str">
            <v>부전(주)</v>
          </cell>
          <cell r="BB263" t="str">
            <v>H50A17K</v>
          </cell>
          <cell r="BC263"/>
          <cell r="BD263" t="str">
            <v>K804</v>
          </cell>
          <cell r="BE263" t="str">
            <v>S/B</v>
          </cell>
          <cell r="BF263"/>
          <cell r="BG263"/>
          <cell r="BH263"/>
          <cell r="BI263">
            <v>98</v>
          </cell>
          <cell r="BJ263">
            <v>1078</v>
          </cell>
          <cell r="BK263">
            <v>56</v>
          </cell>
          <cell r="BL263">
            <v>4</v>
          </cell>
          <cell r="BM263"/>
          <cell r="BN263"/>
          <cell r="BO263"/>
          <cell r="BP263"/>
          <cell r="BQ263"/>
          <cell r="BR263"/>
          <cell r="BS263"/>
          <cell r="BT263"/>
          <cell r="BU263"/>
          <cell r="BV263"/>
          <cell r="BW263"/>
          <cell r="BX263"/>
          <cell r="BY263"/>
          <cell r="BZ263"/>
          <cell r="CA263"/>
          <cell r="CB263"/>
          <cell r="CC263"/>
          <cell r="CD263"/>
          <cell r="CE263"/>
          <cell r="CF263"/>
          <cell r="CG263"/>
          <cell r="CH263"/>
          <cell r="CI263"/>
          <cell r="CJ263"/>
          <cell r="CK263"/>
          <cell r="CL263"/>
          <cell r="CM263"/>
          <cell r="CN263"/>
          <cell r="CO263"/>
          <cell r="CP263"/>
        </row>
        <row r="264">
          <cell r="C264">
            <v>2454</v>
          </cell>
          <cell r="D264" t="str">
            <v>MB250941A</v>
          </cell>
          <cell r="E264" t="str">
            <v xml:space="preserve"> BRKT(A)</v>
          </cell>
          <cell r="H264">
            <v>1</v>
          </cell>
          <cell r="I264">
            <v>1</v>
          </cell>
          <cell r="J264">
            <v>1</v>
          </cell>
          <cell r="K264">
            <v>1</v>
          </cell>
          <cell r="L264">
            <v>1</v>
          </cell>
          <cell r="M264">
            <v>1</v>
          </cell>
          <cell r="N264">
            <v>1</v>
          </cell>
          <cell r="O264">
            <v>1</v>
          </cell>
          <cell r="P264">
            <v>1</v>
          </cell>
          <cell r="Q264">
            <v>1</v>
          </cell>
          <cell r="R264">
            <v>1</v>
          </cell>
          <cell r="S264">
            <v>1</v>
          </cell>
          <cell r="T264">
            <v>1</v>
          </cell>
          <cell r="U264">
            <v>1</v>
          </cell>
          <cell r="V264">
            <v>1</v>
          </cell>
          <cell r="Y264">
            <v>1</v>
          </cell>
          <cell r="Z264">
            <v>1</v>
          </cell>
          <cell r="AA264">
            <v>1</v>
          </cell>
          <cell r="AB264">
            <v>1</v>
          </cell>
          <cell r="AC264">
            <v>1</v>
          </cell>
          <cell r="AD264">
            <v>1</v>
          </cell>
          <cell r="AF264">
            <v>1</v>
          </cell>
          <cell r="AG264">
            <v>1</v>
          </cell>
          <cell r="AH264"/>
          <cell r="AI264"/>
          <cell r="AJ264">
            <v>1</v>
          </cell>
          <cell r="AK264">
            <v>1</v>
          </cell>
          <cell r="AL264">
            <v>1</v>
          </cell>
          <cell r="AM264">
            <v>1</v>
          </cell>
          <cell r="AN264"/>
          <cell r="AO264">
            <v>1</v>
          </cell>
          <cell r="AP264"/>
          <cell r="AQ264">
            <v>1</v>
          </cell>
          <cell r="AR264"/>
          <cell r="AS264">
            <v>1</v>
          </cell>
          <cell r="AT264"/>
          <cell r="AU264">
            <v>1</v>
          </cell>
          <cell r="AV264">
            <v>1</v>
          </cell>
          <cell r="AW264"/>
          <cell r="AX264">
            <v>1</v>
          </cell>
          <cell r="AY264"/>
          <cell r="AZ264" t="str">
            <v>B</v>
          </cell>
          <cell r="BA264" t="str">
            <v>부전(주)</v>
          </cell>
          <cell r="BB264" t="str">
            <v>H50A13K</v>
          </cell>
          <cell r="BC264"/>
          <cell r="BD264" t="str">
            <v>K804</v>
          </cell>
          <cell r="BE264"/>
          <cell r="BF264"/>
          <cell r="BG264"/>
          <cell r="BH264"/>
          <cell r="BI264">
            <v>937</v>
          </cell>
          <cell r="BJ264">
            <v>995</v>
          </cell>
          <cell r="BK264">
            <v>58</v>
          </cell>
          <cell r="BL264">
            <v>56</v>
          </cell>
          <cell r="BM264"/>
          <cell r="BN264"/>
          <cell r="BO264"/>
          <cell r="BP264"/>
          <cell r="BQ264"/>
          <cell r="BR264"/>
          <cell r="BS264"/>
          <cell r="BT264"/>
          <cell r="BU264"/>
          <cell r="BV264"/>
          <cell r="BW264"/>
          <cell r="BX264"/>
          <cell r="BY264"/>
          <cell r="BZ264"/>
          <cell r="CA264"/>
          <cell r="CB264"/>
          <cell r="CC264"/>
          <cell r="CD264"/>
          <cell r="CE264"/>
          <cell r="CF264"/>
          <cell r="CG264"/>
          <cell r="CH264"/>
          <cell r="CI264"/>
          <cell r="CJ264"/>
          <cell r="CK264"/>
          <cell r="CL264"/>
          <cell r="CM264"/>
          <cell r="CN264"/>
          <cell r="CO264"/>
          <cell r="CP264"/>
        </row>
        <row r="265">
          <cell r="C265">
            <v>7752</v>
          </cell>
          <cell r="D265" t="str">
            <v>MB250941A</v>
          </cell>
          <cell r="E265" t="str">
            <v xml:space="preserve"> BRKT(A)</v>
          </cell>
          <cell r="G265">
            <v>3</v>
          </cell>
          <cell r="AZ265" t="str">
            <v>B</v>
          </cell>
          <cell r="BA265" t="str">
            <v>부전(주)</v>
          </cell>
          <cell r="BB265" t="str">
            <v>H50A17K</v>
          </cell>
          <cell r="BD265" t="str">
            <v>K804</v>
          </cell>
          <cell r="BE265" t="str">
            <v>ALL</v>
          </cell>
          <cell r="BI265">
            <v>0</v>
          </cell>
          <cell r="BJ265">
            <v>0</v>
          </cell>
          <cell r="BK265">
            <v>0</v>
          </cell>
          <cell r="BL265">
            <v>0</v>
          </cell>
          <cell r="BM265"/>
          <cell r="BN265"/>
          <cell r="BO265"/>
          <cell r="BP265"/>
          <cell r="BQ265"/>
          <cell r="BR265"/>
          <cell r="BS265"/>
          <cell r="BT265"/>
          <cell r="BU265"/>
          <cell r="BV265"/>
          <cell r="BW265"/>
          <cell r="BX265"/>
          <cell r="BY265"/>
          <cell r="BZ265"/>
          <cell r="CA265"/>
          <cell r="CB265"/>
          <cell r="CC265"/>
          <cell r="CD265"/>
          <cell r="CE265"/>
          <cell r="CF265"/>
          <cell r="CG265"/>
          <cell r="CH265"/>
          <cell r="CI265"/>
          <cell r="CJ265"/>
          <cell r="CK265"/>
        </row>
        <row r="266">
          <cell r="C266">
            <v>2584</v>
          </cell>
          <cell r="D266" t="str">
            <v>MB250993</v>
          </cell>
          <cell r="E266" t="str">
            <v xml:space="preserve"> PANEL WATER GUIDE,SIDE</v>
          </cell>
          <cell r="G266">
            <v>1</v>
          </cell>
          <cell r="AZ266" t="str">
            <v>B</v>
          </cell>
          <cell r="BA266" t="str">
            <v>부전(주)</v>
          </cell>
          <cell r="BB266" t="str">
            <v>H50A18K</v>
          </cell>
          <cell r="BD266" t="str">
            <v>K804</v>
          </cell>
          <cell r="BE266" t="str">
            <v>ALL</v>
          </cell>
          <cell r="BI266">
            <v>0</v>
          </cell>
          <cell r="BJ266">
            <v>0</v>
          </cell>
          <cell r="BK266">
            <v>0</v>
          </cell>
          <cell r="BL266">
            <v>0</v>
          </cell>
          <cell r="BM266"/>
          <cell r="BN266"/>
          <cell r="BO266"/>
          <cell r="BP266"/>
          <cell r="BQ266"/>
          <cell r="BR266"/>
          <cell r="BS266"/>
          <cell r="BT266"/>
          <cell r="BU266"/>
          <cell r="BV266"/>
          <cell r="BW266"/>
          <cell r="BX266"/>
          <cell r="BY266"/>
          <cell r="BZ266"/>
          <cell r="CA266"/>
          <cell r="CB266"/>
          <cell r="CC266"/>
          <cell r="CD266"/>
          <cell r="CE266"/>
          <cell r="CF266"/>
          <cell r="CG266"/>
          <cell r="CH266"/>
          <cell r="CI266"/>
          <cell r="CJ266"/>
          <cell r="CK266"/>
        </row>
        <row r="267">
          <cell r="C267">
            <v>2584</v>
          </cell>
          <cell r="D267" t="str">
            <v>MB250995A</v>
          </cell>
          <cell r="E267" t="str">
            <v xml:space="preserve"> BRKT,BLOWER A RH</v>
          </cell>
          <cell r="G267">
            <v>1</v>
          </cell>
          <cell r="AZ267" t="str">
            <v>B</v>
          </cell>
          <cell r="BA267" t="str">
            <v>부전(주)</v>
          </cell>
          <cell r="BB267" t="str">
            <v>H50A18K</v>
          </cell>
          <cell r="BD267" t="str">
            <v>K804</v>
          </cell>
          <cell r="BE267" t="str">
            <v>ALL</v>
          </cell>
          <cell r="BI267">
            <v>0</v>
          </cell>
          <cell r="BJ267">
            <v>0</v>
          </cell>
          <cell r="BK267">
            <v>0</v>
          </cell>
          <cell r="BL267">
            <v>0</v>
          </cell>
          <cell r="BM267"/>
          <cell r="BN267"/>
          <cell r="BO267"/>
          <cell r="BP267"/>
          <cell r="BQ267"/>
          <cell r="BR267"/>
          <cell r="BS267"/>
          <cell r="BT267"/>
          <cell r="BU267"/>
          <cell r="BV267"/>
          <cell r="BW267"/>
          <cell r="BX267"/>
          <cell r="BY267"/>
          <cell r="BZ267"/>
          <cell r="CA267"/>
          <cell r="CB267"/>
          <cell r="CC267"/>
          <cell r="CD267"/>
          <cell r="CE267"/>
          <cell r="CF267"/>
          <cell r="CG267"/>
          <cell r="CH267"/>
          <cell r="CI267"/>
          <cell r="CJ267"/>
          <cell r="CK267"/>
        </row>
        <row r="268">
          <cell r="C268">
            <v>559</v>
          </cell>
          <cell r="D268" t="str">
            <v>MB259087A</v>
          </cell>
          <cell r="E268" t="str">
            <v xml:space="preserve"> BRKT</v>
          </cell>
          <cell r="H268">
            <v>1</v>
          </cell>
          <cell r="I268">
            <v>1</v>
          </cell>
          <cell r="R268">
            <v>1</v>
          </cell>
          <cell r="AB268">
            <v>1</v>
          </cell>
          <cell r="AF268">
            <v>1</v>
          </cell>
          <cell r="AG268">
            <v>1</v>
          </cell>
          <cell r="AH268"/>
          <cell r="AI268"/>
          <cell r="AJ268"/>
          <cell r="AK268"/>
          <cell r="AL268"/>
          <cell r="AM268"/>
          <cell r="AN268"/>
          <cell r="AO268"/>
          <cell r="AP268"/>
          <cell r="AQ268"/>
          <cell r="AR268"/>
          <cell r="AS268"/>
          <cell r="AT268"/>
          <cell r="AU268"/>
          <cell r="AV268"/>
          <cell r="AW268"/>
          <cell r="AX268"/>
          <cell r="AY268"/>
          <cell r="AZ268" t="str">
            <v>T</v>
          </cell>
          <cell r="BA268" t="str">
            <v>부전(주)</v>
          </cell>
          <cell r="BB268" t="str">
            <v>H61D11K</v>
          </cell>
          <cell r="BC268"/>
          <cell r="BD268" t="str">
            <v>K804</v>
          </cell>
          <cell r="BE268" t="str">
            <v>STD</v>
          </cell>
          <cell r="BF268"/>
          <cell r="BG268"/>
          <cell r="BH268"/>
          <cell r="BI268" t="e">
            <v>#REF!</v>
          </cell>
          <cell r="BJ268" t="e">
            <v>#REF!</v>
          </cell>
          <cell r="BK268" t="e">
            <v>#REF!</v>
          </cell>
          <cell r="BL268" t="e">
            <v>#REF!</v>
          </cell>
          <cell r="BM268"/>
          <cell r="BN268"/>
          <cell r="BO268"/>
          <cell r="BP268"/>
          <cell r="BQ268"/>
          <cell r="BR268"/>
          <cell r="BS268"/>
          <cell r="BT268"/>
          <cell r="BU268"/>
          <cell r="BV268"/>
          <cell r="BW268"/>
          <cell r="BX268"/>
          <cell r="BY268"/>
          <cell r="BZ268"/>
          <cell r="CA268"/>
          <cell r="CB268"/>
          <cell r="CC268"/>
          <cell r="CD268"/>
          <cell r="CE268"/>
          <cell r="CF268"/>
          <cell r="CG268"/>
          <cell r="CH268"/>
          <cell r="CI268"/>
          <cell r="CJ268"/>
          <cell r="CK268"/>
          <cell r="CL268"/>
          <cell r="CM268"/>
          <cell r="CN268"/>
        </row>
        <row r="269">
          <cell r="C269">
            <v>1693</v>
          </cell>
          <cell r="D269" t="str">
            <v>MB260659</v>
          </cell>
          <cell r="E269" t="str">
            <v xml:space="preserve"> STOPPER</v>
          </cell>
          <cell r="F269" t="str">
            <v>-431B</v>
          </cell>
          <cell r="I269">
            <v>1</v>
          </cell>
          <cell r="J269">
            <v>1</v>
          </cell>
          <cell r="K269">
            <v>1</v>
          </cell>
          <cell r="M269">
            <v>1</v>
          </cell>
          <cell r="R269">
            <v>1</v>
          </cell>
          <cell r="S269">
            <v>1</v>
          </cell>
          <cell r="T269">
            <v>1</v>
          </cell>
          <cell r="X269">
            <v>1</v>
          </cell>
          <cell r="Y269">
            <v>1</v>
          </cell>
          <cell r="AC269">
            <v>1</v>
          </cell>
          <cell r="AD269">
            <v>1</v>
          </cell>
          <cell r="AJ269">
            <v>1</v>
          </cell>
          <cell r="AK269">
            <v>1</v>
          </cell>
          <cell r="AL269">
            <v>1</v>
          </cell>
          <cell r="AM269">
            <v>1</v>
          </cell>
          <cell r="AQ269">
            <v>1</v>
          </cell>
          <cell r="AU269">
            <v>1</v>
          </cell>
          <cell r="AX269">
            <v>1</v>
          </cell>
          <cell r="AZ269" t="str">
            <v>T</v>
          </cell>
          <cell r="BA269" t="str">
            <v>부전(주)</v>
          </cell>
        </row>
        <row r="270">
          <cell r="C270">
            <v>5168</v>
          </cell>
          <cell r="D270" t="str">
            <v>MB270055</v>
          </cell>
          <cell r="E270" t="str">
            <v xml:space="preserve"> BRKT-HHOD BUMPER</v>
          </cell>
          <cell r="I270">
            <v>2</v>
          </cell>
          <cell r="J270">
            <v>2</v>
          </cell>
          <cell r="K270">
            <v>2</v>
          </cell>
          <cell r="M270">
            <v>2</v>
          </cell>
          <cell r="N270">
            <v>2</v>
          </cell>
          <cell r="O270">
            <v>2</v>
          </cell>
          <cell r="P270">
            <v>2</v>
          </cell>
          <cell r="Q270">
            <v>2</v>
          </cell>
          <cell r="R270">
            <v>2</v>
          </cell>
          <cell r="S270">
            <v>2</v>
          </cell>
          <cell r="T270">
            <v>2</v>
          </cell>
          <cell r="W270">
            <v>2</v>
          </cell>
          <cell r="X270">
            <v>2</v>
          </cell>
          <cell r="AC270">
            <v>2</v>
          </cell>
          <cell r="AD270">
            <v>2</v>
          </cell>
          <cell r="AE270">
            <v>2</v>
          </cell>
          <cell r="AH270">
            <v>2</v>
          </cell>
          <cell r="AI270">
            <v>2</v>
          </cell>
          <cell r="AJ270">
            <v>2</v>
          </cell>
          <cell r="AK270">
            <v>2</v>
          </cell>
          <cell r="AL270">
            <v>2</v>
          </cell>
          <cell r="AM270">
            <v>2</v>
          </cell>
          <cell r="AN270">
            <v>2</v>
          </cell>
          <cell r="AO270">
            <v>2</v>
          </cell>
          <cell r="AQ270">
            <v>2</v>
          </cell>
          <cell r="AR270">
            <v>2</v>
          </cell>
          <cell r="AS270">
            <v>2</v>
          </cell>
          <cell r="AU270">
            <v>2</v>
          </cell>
          <cell r="AW270">
            <v>2</v>
          </cell>
          <cell r="AX270">
            <v>2</v>
          </cell>
          <cell r="AY270">
            <v>2</v>
          </cell>
          <cell r="AZ270" t="str">
            <v>T</v>
          </cell>
          <cell r="BA270" t="str">
            <v>부전(주)</v>
          </cell>
        </row>
        <row r="271">
          <cell r="C271">
            <v>692</v>
          </cell>
          <cell r="D271" t="str">
            <v>MB274052</v>
          </cell>
          <cell r="E271" t="str">
            <v xml:space="preserve"> COVER,SIDE,RR,RH</v>
          </cell>
          <cell r="H271">
            <v>1</v>
          </cell>
          <cell r="L271">
            <v>1</v>
          </cell>
          <cell r="M271">
            <v>1</v>
          </cell>
          <cell r="N271">
            <v>1</v>
          </cell>
          <cell r="P271">
            <v>1</v>
          </cell>
          <cell r="R271">
            <v>1</v>
          </cell>
          <cell r="U271">
            <v>1</v>
          </cell>
          <cell r="W271">
            <v>1</v>
          </cell>
          <cell r="AB271">
            <v>1</v>
          </cell>
          <cell r="AC271">
            <v>1</v>
          </cell>
          <cell r="AD271">
            <v>1</v>
          </cell>
          <cell r="AF271">
            <v>1</v>
          </cell>
          <cell r="AG271"/>
          <cell r="AH271">
            <v>1</v>
          </cell>
          <cell r="AI271"/>
          <cell r="AJ271"/>
          <cell r="AK271"/>
          <cell r="AL271">
            <v>1</v>
          </cell>
          <cell r="AM271">
            <v>1</v>
          </cell>
          <cell r="AN271">
            <v>1</v>
          </cell>
          <cell r="AO271">
            <v>1</v>
          </cell>
          <cell r="AP271">
            <v>1</v>
          </cell>
          <cell r="AQ271"/>
          <cell r="AR271"/>
          <cell r="AS271"/>
          <cell r="AT271"/>
          <cell r="AU271"/>
          <cell r="AV271"/>
          <cell r="AW271">
            <v>1</v>
          </cell>
          <cell r="AX271"/>
          <cell r="AY271"/>
          <cell r="AZ271" t="str">
            <v>B</v>
          </cell>
          <cell r="BA271" t="str">
            <v>부전(주)</v>
          </cell>
          <cell r="BB271" t="str">
            <v>H50A17K</v>
          </cell>
          <cell r="BC271"/>
          <cell r="BD271" t="str">
            <v>K804</v>
          </cell>
          <cell r="BE271" t="str">
            <v>S/B</v>
          </cell>
          <cell r="BF271"/>
          <cell r="BG271"/>
          <cell r="BH271"/>
          <cell r="BI271">
            <v>49</v>
          </cell>
          <cell r="BJ271">
            <v>539</v>
          </cell>
          <cell r="BK271">
            <v>28</v>
          </cell>
          <cell r="BL271">
            <v>2</v>
          </cell>
          <cell r="BM271"/>
          <cell r="BN271"/>
          <cell r="BO271"/>
          <cell r="BP271"/>
          <cell r="BQ271"/>
          <cell r="BR271"/>
          <cell r="BS271"/>
          <cell r="BT271"/>
          <cell r="BU271"/>
          <cell r="BV271"/>
          <cell r="BW271"/>
          <cell r="BX271"/>
          <cell r="BY271"/>
          <cell r="BZ271"/>
          <cell r="CA271"/>
          <cell r="CB271"/>
          <cell r="CC271"/>
          <cell r="CD271"/>
          <cell r="CE271"/>
          <cell r="CF271"/>
          <cell r="CG271"/>
          <cell r="CH271"/>
          <cell r="CI271"/>
          <cell r="CJ271"/>
          <cell r="CK271"/>
          <cell r="CL271"/>
          <cell r="CM271"/>
          <cell r="CN271"/>
          <cell r="CO271"/>
          <cell r="CP271"/>
        </row>
        <row r="272">
          <cell r="C272">
            <v>2584</v>
          </cell>
          <cell r="D272" t="str">
            <v>MB274077</v>
          </cell>
          <cell r="E272" t="str">
            <v xml:space="preserve"> BRKT,RAD SUPT LH</v>
          </cell>
          <cell r="G272">
            <v>1</v>
          </cell>
          <cell r="AZ272" t="str">
            <v>B</v>
          </cell>
          <cell r="BA272" t="str">
            <v>부전(주)</v>
          </cell>
          <cell r="BB272" t="str">
            <v>H50A15K</v>
          </cell>
          <cell r="BD272" t="str">
            <v>K804</v>
          </cell>
          <cell r="BE272" t="str">
            <v>ALL</v>
          </cell>
          <cell r="BI272">
            <v>0</v>
          </cell>
          <cell r="BJ272">
            <v>0</v>
          </cell>
          <cell r="BK272">
            <v>0</v>
          </cell>
          <cell r="BL272">
            <v>0</v>
          </cell>
          <cell r="BM272"/>
          <cell r="BN272"/>
          <cell r="BO272"/>
          <cell r="BP272"/>
          <cell r="BQ272"/>
          <cell r="BR272"/>
          <cell r="BS272"/>
          <cell r="BT272"/>
          <cell r="BU272"/>
          <cell r="BV272"/>
          <cell r="BW272"/>
          <cell r="BX272"/>
          <cell r="BY272"/>
          <cell r="BZ272"/>
          <cell r="CA272"/>
          <cell r="CB272"/>
          <cell r="CC272"/>
          <cell r="CD272"/>
          <cell r="CE272"/>
          <cell r="CF272"/>
          <cell r="CG272"/>
          <cell r="CH272"/>
          <cell r="CI272"/>
          <cell r="CJ272"/>
          <cell r="CK272"/>
        </row>
        <row r="273">
          <cell r="C273">
            <v>2584</v>
          </cell>
          <cell r="D273" t="str">
            <v>MB274079</v>
          </cell>
          <cell r="E273" t="str">
            <v xml:space="preserve"> REINF,H/LP SUPT LH</v>
          </cell>
          <cell r="G273">
            <v>1</v>
          </cell>
          <cell r="AZ273" t="str">
            <v>B</v>
          </cell>
          <cell r="BA273" t="str">
            <v>부전(주)</v>
          </cell>
          <cell r="BB273" t="str">
            <v>H50A15K</v>
          </cell>
          <cell r="BD273" t="str">
            <v>K804</v>
          </cell>
          <cell r="BE273" t="str">
            <v>ALL</v>
          </cell>
          <cell r="BI273">
            <v>0</v>
          </cell>
          <cell r="BJ273">
            <v>0</v>
          </cell>
          <cell r="BK273">
            <v>0</v>
          </cell>
          <cell r="BL273">
            <v>0</v>
          </cell>
          <cell r="BM273"/>
          <cell r="BN273"/>
          <cell r="BO273"/>
          <cell r="BP273"/>
          <cell r="BQ273"/>
          <cell r="BR273"/>
          <cell r="BS273"/>
          <cell r="BT273"/>
          <cell r="BU273"/>
          <cell r="BV273"/>
          <cell r="BW273"/>
          <cell r="BX273"/>
          <cell r="BY273"/>
          <cell r="BZ273"/>
          <cell r="CA273"/>
          <cell r="CB273"/>
          <cell r="CC273"/>
          <cell r="CD273"/>
          <cell r="CE273"/>
          <cell r="CF273"/>
          <cell r="CG273"/>
          <cell r="CH273"/>
          <cell r="CI273"/>
          <cell r="CJ273"/>
          <cell r="CK273"/>
        </row>
        <row r="274">
          <cell r="C274">
            <v>2584</v>
          </cell>
          <cell r="D274" t="str">
            <v>MB274083A</v>
          </cell>
          <cell r="E274" t="str">
            <v xml:space="preserve"> PLATE LH</v>
          </cell>
          <cell r="G274">
            <v>1</v>
          </cell>
          <cell r="AZ274" t="str">
            <v>B</v>
          </cell>
          <cell r="BA274" t="str">
            <v>부전(주)</v>
          </cell>
          <cell r="BB274" t="str">
            <v>H50A13K</v>
          </cell>
          <cell r="BD274" t="str">
            <v>K804</v>
          </cell>
          <cell r="BE274" t="str">
            <v>ALL</v>
          </cell>
          <cell r="BI274">
            <v>0</v>
          </cell>
          <cell r="BJ274">
            <v>0</v>
          </cell>
          <cell r="BK274">
            <v>0</v>
          </cell>
          <cell r="BL274">
            <v>0</v>
          </cell>
          <cell r="BM274"/>
          <cell r="BN274"/>
          <cell r="BO274"/>
          <cell r="BP274"/>
          <cell r="BQ274"/>
          <cell r="BR274"/>
          <cell r="BS274"/>
          <cell r="BT274"/>
          <cell r="BU274"/>
          <cell r="BV274"/>
          <cell r="BW274"/>
          <cell r="BX274"/>
          <cell r="BY274"/>
          <cell r="BZ274"/>
          <cell r="CA274"/>
          <cell r="CB274"/>
          <cell r="CC274"/>
          <cell r="CD274"/>
          <cell r="CE274"/>
          <cell r="CF274"/>
          <cell r="CG274"/>
          <cell r="CH274"/>
          <cell r="CI274"/>
          <cell r="CJ274"/>
          <cell r="CK274"/>
        </row>
        <row r="275">
          <cell r="C275">
            <v>2584</v>
          </cell>
          <cell r="D275" t="str">
            <v>MB274086</v>
          </cell>
          <cell r="E275" t="str">
            <v xml:space="preserve"> PLATE,W/GUIDE RH</v>
          </cell>
          <cell r="G275">
            <v>1</v>
          </cell>
          <cell r="AZ275" t="str">
            <v>B</v>
          </cell>
          <cell r="BA275" t="str">
            <v>부전(주)</v>
          </cell>
          <cell r="BB275" t="str">
            <v>H50A18K</v>
          </cell>
          <cell r="BD275" t="str">
            <v>K804</v>
          </cell>
          <cell r="BE275" t="str">
            <v>ALL</v>
          </cell>
          <cell r="BI275">
            <v>0</v>
          </cell>
          <cell r="BJ275">
            <v>0</v>
          </cell>
          <cell r="BK275">
            <v>0</v>
          </cell>
          <cell r="BL275">
            <v>0</v>
          </cell>
          <cell r="BM275"/>
          <cell r="BN275"/>
          <cell r="BO275"/>
          <cell r="BP275"/>
          <cell r="BQ275"/>
          <cell r="BR275"/>
          <cell r="BS275"/>
          <cell r="BT275"/>
          <cell r="BU275"/>
          <cell r="BV275"/>
          <cell r="BW275"/>
          <cell r="BX275"/>
          <cell r="BY275"/>
          <cell r="BZ275"/>
          <cell r="CA275"/>
          <cell r="CB275"/>
          <cell r="CC275"/>
          <cell r="CD275"/>
          <cell r="CE275"/>
          <cell r="CF275"/>
          <cell r="CG275"/>
          <cell r="CH275"/>
          <cell r="CI275"/>
          <cell r="CJ275"/>
          <cell r="CK275"/>
        </row>
        <row r="276">
          <cell r="C276">
            <v>2584</v>
          </cell>
          <cell r="D276" t="str">
            <v>MB274138</v>
          </cell>
          <cell r="E276" t="str">
            <v xml:space="preserve"> BAFFLE PLATE</v>
          </cell>
          <cell r="F276" t="str">
            <v>-651A</v>
          </cell>
          <cell r="G276">
            <v>1</v>
          </cell>
          <cell r="AZ276" t="str">
            <v>B</v>
          </cell>
          <cell r="BA276" t="str">
            <v>부전(주)</v>
          </cell>
          <cell r="BB276" t="str">
            <v>H50A14K</v>
          </cell>
          <cell r="BD276" t="str">
            <v>K804</v>
          </cell>
          <cell r="BE276" t="str">
            <v>ALL</v>
          </cell>
          <cell r="BI276">
            <v>0</v>
          </cell>
          <cell r="BJ276">
            <v>0</v>
          </cell>
          <cell r="BK276">
            <v>0</v>
          </cell>
          <cell r="BL276">
            <v>0</v>
          </cell>
          <cell r="BM276"/>
          <cell r="BN276"/>
          <cell r="BO276"/>
          <cell r="BP276"/>
          <cell r="BQ276"/>
          <cell r="BR276"/>
          <cell r="BS276"/>
          <cell r="BT276"/>
          <cell r="BU276"/>
          <cell r="BV276"/>
          <cell r="BW276"/>
          <cell r="BX276"/>
          <cell r="BY276"/>
          <cell r="BZ276"/>
          <cell r="CA276"/>
          <cell r="CB276"/>
          <cell r="CC276"/>
          <cell r="CD276"/>
          <cell r="CE276"/>
          <cell r="CF276"/>
          <cell r="CG276"/>
          <cell r="CH276"/>
          <cell r="CI276"/>
          <cell r="CJ276"/>
          <cell r="CK276"/>
        </row>
        <row r="277">
          <cell r="C277">
            <v>2453</v>
          </cell>
          <cell r="D277" t="str">
            <v>MB274143A</v>
          </cell>
          <cell r="E277" t="str">
            <v xml:space="preserve"> BRKT,CYCLONE A/C(A)</v>
          </cell>
          <cell r="H277">
            <v>1</v>
          </cell>
          <cell r="I277">
            <v>1</v>
          </cell>
          <cell r="J277">
            <v>1</v>
          </cell>
          <cell r="K277">
            <v>1</v>
          </cell>
          <cell r="L277">
            <v>1</v>
          </cell>
          <cell r="M277">
            <v>1</v>
          </cell>
          <cell r="N277">
            <v>1</v>
          </cell>
          <cell r="O277">
            <v>1</v>
          </cell>
          <cell r="P277">
            <v>1</v>
          </cell>
          <cell r="Q277">
            <v>1</v>
          </cell>
          <cell r="R277">
            <v>1</v>
          </cell>
          <cell r="S277">
            <v>1</v>
          </cell>
          <cell r="T277">
            <v>1</v>
          </cell>
          <cell r="U277">
            <v>1</v>
          </cell>
          <cell r="V277">
            <v>1</v>
          </cell>
          <cell r="Y277">
            <v>1</v>
          </cell>
          <cell r="Z277">
            <v>1</v>
          </cell>
          <cell r="AA277">
            <v>1</v>
          </cell>
          <cell r="AB277">
            <v>1</v>
          </cell>
          <cell r="AC277">
            <v>1</v>
          </cell>
          <cell r="AD277">
            <v>1</v>
          </cell>
          <cell r="AF277">
            <v>1</v>
          </cell>
          <cell r="AG277">
            <v>1</v>
          </cell>
          <cell r="AH277"/>
          <cell r="AI277"/>
          <cell r="AJ277">
            <v>1</v>
          </cell>
          <cell r="AK277"/>
          <cell r="AL277">
            <v>1</v>
          </cell>
          <cell r="AM277">
            <v>1</v>
          </cell>
          <cell r="AN277"/>
          <cell r="AO277">
            <v>1</v>
          </cell>
          <cell r="AP277"/>
          <cell r="AQ277">
            <v>1</v>
          </cell>
          <cell r="AR277"/>
          <cell r="AS277">
            <v>1</v>
          </cell>
          <cell r="AT277"/>
          <cell r="AU277">
            <v>1</v>
          </cell>
          <cell r="AV277">
            <v>1</v>
          </cell>
          <cell r="AW277"/>
          <cell r="AX277"/>
          <cell r="AY277"/>
          <cell r="AZ277" t="str">
            <v>B</v>
          </cell>
          <cell r="BA277" t="str">
            <v>부전(주)</v>
          </cell>
          <cell r="BB277" t="str">
            <v>H50A14K</v>
          </cell>
          <cell r="BC277"/>
          <cell r="BD277" t="str">
            <v>K804</v>
          </cell>
          <cell r="BE277"/>
          <cell r="BF277"/>
          <cell r="BG277"/>
          <cell r="BH277"/>
          <cell r="BI277">
            <v>937</v>
          </cell>
          <cell r="BJ277">
            <v>995</v>
          </cell>
          <cell r="BK277">
            <v>57</v>
          </cell>
          <cell r="BL277">
            <v>56</v>
          </cell>
          <cell r="BM277"/>
          <cell r="BN277"/>
          <cell r="BO277"/>
          <cell r="BP277"/>
          <cell r="BQ277"/>
          <cell r="BR277"/>
          <cell r="BS277"/>
          <cell r="BT277"/>
          <cell r="BU277"/>
          <cell r="BV277"/>
          <cell r="BW277"/>
          <cell r="BX277"/>
          <cell r="BY277"/>
          <cell r="BZ277"/>
          <cell r="CA277"/>
          <cell r="CB277"/>
          <cell r="CC277"/>
          <cell r="CD277"/>
          <cell r="CE277"/>
          <cell r="CF277"/>
          <cell r="CG277"/>
          <cell r="CH277"/>
          <cell r="CI277"/>
          <cell r="CJ277"/>
          <cell r="CK277"/>
          <cell r="CL277"/>
          <cell r="CM277"/>
          <cell r="CN277"/>
          <cell r="CO277"/>
          <cell r="CP277"/>
        </row>
        <row r="278">
          <cell r="C278">
            <v>2453</v>
          </cell>
          <cell r="D278" t="str">
            <v>MB274144A</v>
          </cell>
          <cell r="E278" t="str">
            <v xml:space="preserve"> BRKT,CYCLONE A/C(B)</v>
          </cell>
          <cell r="H278">
            <v>1</v>
          </cell>
          <cell r="I278">
            <v>1</v>
          </cell>
          <cell r="J278">
            <v>1</v>
          </cell>
          <cell r="K278">
            <v>1</v>
          </cell>
          <cell r="L278">
            <v>1</v>
          </cell>
          <cell r="M278">
            <v>1</v>
          </cell>
          <cell r="N278">
            <v>1</v>
          </cell>
          <cell r="O278">
            <v>1</v>
          </cell>
          <cell r="P278">
            <v>1</v>
          </cell>
          <cell r="Q278">
            <v>1</v>
          </cell>
          <cell r="R278">
            <v>1</v>
          </cell>
          <cell r="S278">
            <v>1</v>
          </cell>
          <cell r="T278">
            <v>1</v>
          </cell>
          <cell r="U278">
            <v>1</v>
          </cell>
          <cell r="V278">
            <v>1</v>
          </cell>
          <cell r="Y278">
            <v>1</v>
          </cell>
          <cell r="Z278">
            <v>1</v>
          </cell>
          <cell r="AA278">
            <v>1</v>
          </cell>
          <cell r="AB278">
            <v>1</v>
          </cell>
          <cell r="AC278">
            <v>1</v>
          </cell>
          <cell r="AD278">
            <v>1</v>
          </cell>
          <cell r="AF278">
            <v>1</v>
          </cell>
          <cell r="AG278">
            <v>1</v>
          </cell>
          <cell r="AH278"/>
          <cell r="AI278"/>
          <cell r="AJ278">
            <v>1</v>
          </cell>
          <cell r="AK278"/>
          <cell r="AL278">
            <v>1</v>
          </cell>
          <cell r="AM278">
            <v>1</v>
          </cell>
          <cell r="AN278"/>
          <cell r="AO278">
            <v>1</v>
          </cell>
          <cell r="AP278"/>
          <cell r="AQ278">
            <v>1</v>
          </cell>
          <cell r="AR278"/>
          <cell r="AS278">
            <v>1</v>
          </cell>
          <cell r="AT278"/>
          <cell r="AU278">
            <v>1</v>
          </cell>
          <cell r="AV278">
            <v>1</v>
          </cell>
          <cell r="AW278"/>
          <cell r="AX278"/>
          <cell r="AY278"/>
          <cell r="AZ278" t="str">
            <v>B</v>
          </cell>
          <cell r="BA278" t="str">
            <v>부전(주)</v>
          </cell>
          <cell r="BB278" t="str">
            <v>H50A14K</v>
          </cell>
          <cell r="BC278"/>
          <cell r="BD278" t="str">
            <v>K804</v>
          </cell>
          <cell r="BE278"/>
          <cell r="BF278"/>
          <cell r="BG278"/>
          <cell r="BH278"/>
          <cell r="BI278">
            <v>937</v>
          </cell>
          <cell r="BJ278">
            <v>995</v>
          </cell>
          <cell r="BK278">
            <v>57</v>
          </cell>
          <cell r="BL278">
            <v>56</v>
          </cell>
          <cell r="BM278"/>
          <cell r="BN278"/>
          <cell r="BO278"/>
          <cell r="BP278"/>
          <cell r="BQ278"/>
          <cell r="BR278"/>
          <cell r="BS278"/>
          <cell r="BT278"/>
          <cell r="BU278"/>
          <cell r="BV278"/>
          <cell r="BW278"/>
          <cell r="BX278"/>
          <cell r="BY278"/>
          <cell r="BZ278"/>
          <cell r="CA278"/>
          <cell r="CB278"/>
          <cell r="CC278"/>
          <cell r="CD278"/>
          <cell r="CE278"/>
          <cell r="CF278"/>
          <cell r="CG278"/>
          <cell r="CH278"/>
          <cell r="CI278"/>
          <cell r="CJ278"/>
          <cell r="CK278"/>
          <cell r="CL278"/>
          <cell r="CM278"/>
          <cell r="CN278"/>
          <cell r="CO278"/>
          <cell r="CP278"/>
        </row>
        <row r="279">
          <cell r="C279">
            <v>2584</v>
          </cell>
          <cell r="D279" t="str">
            <v>MB274185</v>
          </cell>
          <cell r="E279" t="str">
            <v xml:space="preserve"> PIPE-H/LORK CABLE PROT</v>
          </cell>
          <cell r="I279">
            <v>1</v>
          </cell>
          <cell r="J279">
            <v>1</v>
          </cell>
          <cell r="K279">
            <v>1</v>
          </cell>
          <cell r="M279">
            <v>1</v>
          </cell>
          <cell r="N279">
            <v>1</v>
          </cell>
          <cell r="O279">
            <v>1</v>
          </cell>
          <cell r="P279">
            <v>1</v>
          </cell>
          <cell r="Q279">
            <v>1</v>
          </cell>
          <cell r="R279">
            <v>1</v>
          </cell>
          <cell r="S279">
            <v>1</v>
          </cell>
          <cell r="T279">
            <v>1</v>
          </cell>
          <cell r="W279">
            <v>1</v>
          </cell>
          <cell r="X279">
            <v>1</v>
          </cell>
          <cell r="AC279">
            <v>1</v>
          </cell>
          <cell r="AD279">
            <v>1</v>
          </cell>
          <cell r="AE279">
            <v>1</v>
          </cell>
          <cell r="AH279">
            <v>1</v>
          </cell>
          <cell r="AI279">
            <v>1</v>
          </cell>
          <cell r="AJ279">
            <v>1</v>
          </cell>
          <cell r="AK279">
            <v>1</v>
          </cell>
          <cell r="AL279">
            <v>1</v>
          </cell>
          <cell r="AM279">
            <v>1</v>
          </cell>
          <cell r="AN279">
            <v>1</v>
          </cell>
          <cell r="AO279">
            <v>1</v>
          </cell>
          <cell r="AQ279">
            <v>1</v>
          </cell>
          <cell r="AR279">
            <v>1</v>
          </cell>
          <cell r="AS279">
            <v>1</v>
          </cell>
          <cell r="AU279">
            <v>1</v>
          </cell>
          <cell r="AW279">
            <v>1</v>
          </cell>
          <cell r="AX279">
            <v>1</v>
          </cell>
          <cell r="AY279">
            <v>1</v>
          </cell>
          <cell r="AZ279" t="str">
            <v>T</v>
          </cell>
          <cell r="BA279" t="str">
            <v>부전(주)</v>
          </cell>
        </row>
        <row r="280">
          <cell r="C280">
            <v>2584</v>
          </cell>
          <cell r="D280" t="str">
            <v>MB274535</v>
          </cell>
          <cell r="E280" t="str">
            <v xml:space="preserve"> REINF,DECK OTR LH</v>
          </cell>
          <cell r="G280">
            <v>1</v>
          </cell>
          <cell r="AZ280" t="str">
            <v>B</v>
          </cell>
          <cell r="BA280" t="str">
            <v>부전(주)</v>
          </cell>
          <cell r="BB280" t="str">
            <v>H50A18K</v>
          </cell>
          <cell r="BD280" t="str">
            <v>K804</v>
          </cell>
          <cell r="BE280" t="str">
            <v>ALL</v>
          </cell>
          <cell r="BI280">
            <v>0</v>
          </cell>
          <cell r="BJ280">
            <v>0</v>
          </cell>
          <cell r="BK280">
            <v>0</v>
          </cell>
          <cell r="BL280">
            <v>0</v>
          </cell>
          <cell r="BM280"/>
          <cell r="BN280"/>
          <cell r="BO280"/>
          <cell r="BP280"/>
          <cell r="BQ280"/>
          <cell r="BR280"/>
          <cell r="BS280"/>
          <cell r="BT280"/>
          <cell r="BU280"/>
          <cell r="BV280"/>
          <cell r="BW280"/>
          <cell r="BX280"/>
          <cell r="BY280"/>
          <cell r="BZ280"/>
          <cell r="CA280"/>
          <cell r="CB280"/>
          <cell r="CC280"/>
          <cell r="CD280"/>
          <cell r="CE280"/>
          <cell r="CF280"/>
          <cell r="CG280"/>
          <cell r="CH280"/>
          <cell r="CI280"/>
          <cell r="CJ280"/>
          <cell r="CK280"/>
        </row>
        <row r="281">
          <cell r="C281">
            <v>2584</v>
          </cell>
          <cell r="D281" t="str">
            <v>MB274536</v>
          </cell>
          <cell r="E281" t="str">
            <v xml:space="preserve"> REINF,DECK OTR RH</v>
          </cell>
          <cell r="G281">
            <v>1</v>
          </cell>
          <cell r="AZ281" t="str">
            <v>B</v>
          </cell>
          <cell r="BA281" t="str">
            <v>부전(주)</v>
          </cell>
          <cell r="BB281" t="str">
            <v>H50A18K</v>
          </cell>
          <cell r="BD281" t="str">
            <v>K804</v>
          </cell>
          <cell r="BE281" t="str">
            <v>ALL</v>
          </cell>
          <cell r="BI281">
            <v>0</v>
          </cell>
          <cell r="BJ281">
            <v>0</v>
          </cell>
          <cell r="BK281">
            <v>0</v>
          </cell>
          <cell r="BL281">
            <v>0</v>
          </cell>
          <cell r="BM281"/>
          <cell r="BN281"/>
          <cell r="BO281"/>
          <cell r="BP281"/>
          <cell r="BQ281"/>
          <cell r="BR281"/>
          <cell r="BS281"/>
          <cell r="BT281"/>
          <cell r="BU281"/>
          <cell r="BV281"/>
          <cell r="BW281"/>
          <cell r="BX281"/>
          <cell r="BY281"/>
          <cell r="BZ281"/>
          <cell r="CA281"/>
          <cell r="CB281"/>
          <cell r="CC281"/>
          <cell r="CD281"/>
          <cell r="CE281"/>
          <cell r="CF281"/>
          <cell r="CG281"/>
          <cell r="CH281"/>
          <cell r="CI281"/>
          <cell r="CJ281"/>
          <cell r="CK281"/>
        </row>
        <row r="282">
          <cell r="C282">
            <v>1413</v>
          </cell>
          <cell r="D282" t="str">
            <v>MB274554A</v>
          </cell>
          <cell r="E282" t="str">
            <v xml:space="preserve"> COVER,SHIFT LEVER HOLE(A/T)</v>
          </cell>
          <cell r="F282" t="str">
            <v>+431</v>
          </cell>
          <cell r="K282">
            <v>1</v>
          </cell>
          <cell r="M282">
            <v>1</v>
          </cell>
          <cell r="N282">
            <v>1</v>
          </cell>
          <cell r="O282">
            <v>1</v>
          </cell>
          <cell r="P282">
            <v>1</v>
          </cell>
          <cell r="Q282">
            <v>1</v>
          </cell>
          <cell r="T282">
            <v>1</v>
          </cell>
          <cell r="W282">
            <v>1</v>
          </cell>
          <cell r="X282">
            <v>1</v>
          </cell>
          <cell r="Z282">
            <v>1</v>
          </cell>
          <cell r="AD282">
            <v>1</v>
          </cell>
          <cell r="AE282">
            <v>1</v>
          </cell>
          <cell r="AH282">
            <v>1</v>
          </cell>
          <cell r="AI282">
            <v>1</v>
          </cell>
          <cell r="AO282">
            <v>1</v>
          </cell>
          <cell r="AP282">
            <v>1</v>
          </cell>
          <cell r="AS282">
            <v>1</v>
          </cell>
          <cell r="AT282">
            <v>1</v>
          </cell>
          <cell r="AW282">
            <v>1</v>
          </cell>
          <cell r="AZ282" t="str">
            <v>B</v>
          </cell>
          <cell r="BA282" t="str">
            <v>부전(주)</v>
          </cell>
          <cell r="BB282" t="str">
            <v>H50A11K01-6,7,10,11,14^17</v>
          </cell>
          <cell r="BC282" t="str">
            <v>D</v>
          </cell>
          <cell r="BD282" t="str">
            <v>K804</v>
          </cell>
          <cell r="BE282" t="str">
            <v>AT</v>
          </cell>
          <cell r="BI282">
            <v>684</v>
          </cell>
          <cell r="BJ282">
            <v>237</v>
          </cell>
          <cell r="BK282">
            <v>61</v>
          </cell>
          <cell r="BL282">
            <v>31</v>
          </cell>
          <cell r="BM282"/>
          <cell r="BN282"/>
          <cell r="BO282"/>
          <cell r="BP282"/>
          <cell r="BQ282"/>
          <cell r="BR282"/>
          <cell r="BS282"/>
          <cell r="BT282"/>
          <cell r="BU282"/>
          <cell r="BV282"/>
          <cell r="BW282"/>
          <cell r="BX282"/>
          <cell r="BY282"/>
          <cell r="BZ282"/>
          <cell r="CA282"/>
          <cell r="CB282"/>
          <cell r="CC282"/>
          <cell r="CD282"/>
          <cell r="CE282"/>
          <cell r="CF282"/>
          <cell r="CG282"/>
          <cell r="CH282"/>
          <cell r="CI282"/>
          <cell r="CJ282"/>
          <cell r="CK282"/>
          <cell r="CL282"/>
          <cell r="CM282"/>
          <cell r="CN282"/>
          <cell r="CO282"/>
          <cell r="CP282"/>
          <cell r="CQ282"/>
        </row>
        <row r="283">
          <cell r="C283">
            <v>2584</v>
          </cell>
          <cell r="D283" t="str">
            <v>MB274579A</v>
          </cell>
          <cell r="E283" t="str">
            <v xml:space="preserve"> REINF CHECK</v>
          </cell>
          <cell r="G283">
            <v>1</v>
          </cell>
          <cell r="AZ283" t="str">
            <v>B</v>
          </cell>
          <cell r="BA283" t="str">
            <v>부전(주)</v>
          </cell>
          <cell r="BB283" t="str">
            <v>H50B33K</v>
          </cell>
          <cell r="BD283" t="str">
            <v>K804</v>
          </cell>
          <cell r="BE283" t="str">
            <v>ALL</v>
          </cell>
          <cell r="BI283">
            <v>0</v>
          </cell>
          <cell r="BJ283">
            <v>0</v>
          </cell>
          <cell r="BK283">
            <v>0</v>
          </cell>
          <cell r="BL283">
            <v>0</v>
          </cell>
          <cell r="BM283"/>
          <cell r="BN283"/>
          <cell r="BO283"/>
          <cell r="BP283"/>
          <cell r="BQ283"/>
          <cell r="BR283"/>
          <cell r="BS283"/>
          <cell r="BT283"/>
          <cell r="BU283"/>
          <cell r="BV283"/>
          <cell r="BW283"/>
          <cell r="BX283"/>
          <cell r="BY283"/>
          <cell r="BZ283"/>
          <cell r="CA283"/>
          <cell r="CB283"/>
          <cell r="CC283"/>
          <cell r="CD283"/>
          <cell r="CE283"/>
          <cell r="CF283"/>
          <cell r="CG283"/>
          <cell r="CH283"/>
          <cell r="CI283"/>
          <cell r="CJ283"/>
          <cell r="CK283"/>
        </row>
        <row r="284">
          <cell r="C284">
            <v>692</v>
          </cell>
          <cell r="D284" t="str">
            <v>MB274631</v>
          </cell>
          <cell r="E284" t="str">
            <v xml:space="preserve"> REINF,FR PILLAR LH</v>
          </cell>
          <cell r="H284">
            <v>1</v>
          </cell>
          <cell r="L284">
            <v>1</v>
          </cell>
          <cell r="M284">
            <v>1</v>
          </cell>
          <cell r="N284">
            <v>1</v>
          </cell>
          <cell r="P284">
            <v>1</v>
          </cell>
          <cell r="R284">
            <v>1</v>
          </cell>
          <cell r="U284">
            <v>1</v>
          </cell>
          <cell r="W284">
            <v>1</v>
          </cell>
          <cell r="AB284">
            <v>1</v>
          </cell>
          <cell r="AC284">
            <v>1</v>
          </cell>
          <cell r="AD284">
            <v>1</v>
          </cell>
          <cell r="AF284">
            <v>1</v>
          </cell>
          <cell r="AG284"/>
          <cell r="AH284">
            <v>1</v>
          </cell>
          <cell r="AI284"/>
          <cell r="AJ284"/>
          <cell r="AK284"/>
          <cell r="AL284">
            <v>1</v>
          </cell>
          <cell r="AM284">
            <v>1</v>
          </cell>
          <cell r="AN284">
            <v>1</v>
          </cell>
          <cell r="AO284">
            <v>1</v>
          </cell>
          <cell r="AP284">
            <v>1</v>
          </cell>
          <cell r="AQ284"/>
          <cell r="AR284"/>
          <cell r="AS284"/>
          <cell r="AT284"/>
          <cell r="AU284"/>
          <cell r="AV284"/>
          <cell r="AW284">
            <v>1</v>
          </cell>
          <cell r="AX284"/>
          <cell r="AY284"/>
          <cell r="AZ284" t="str">
            <v>B</v>
          </cell>
          <cell r="BA284" t="str">
            <v>부전(주)</v>
          </cell>
          <cell r="BB284" t="str">
            <v>H50A16K</v>
          </cell>
          <cell r="BC284"/>
          <cell r="BD284" t="str">
            <v>K804</v>
          </cell>
          <cell r="BE284" t="str">
            <v>S/B</v>
          </cell>
          <cell r="BF284"/>
          <cell r="BG284"/>
          <cell r="BH284"/>
          <cell r="BI284">
            <v>49</v>
          </cell>
          <cell r="BJ284">
            <v>539</v>
          </cell>
          <cell r="BK284">
            <v>28</v>
          </cell>
          <cell r="BL284">
            <v>2</v>
          </cell>
          <cell r="BM284"/>
          <cell r="BN284"/>
          <cell r="BO284"/>
          <cell r="BP284"/>
          <cell r="BQ284"/>
          <cell r="BR284"/>
          <cell r="BS284"/>
          <cell r="BT284"/>
          <cell r="BU284"/>
          <cell r="BV284"/>
          <cell r="BW284"/>
          <cell r="BX284"/>
          <cell r="BY284"/>
          <cell r="BZ284"/>
          <cell r="CA284"/>
          <cell r="CB284"/>
          <cell r="CC284"/>
          <cell r="CD284"/>
          <cell r="CE284"/>
          <cell r="CF284"/>
          <cell r="CG284"/>
          <cell r="CH284"/>
          <cell r="CI284"/>
          <cell r="CJ284"/>
          <cell r="CK284"/>
          <cell r="CL284"/>
          <cell r="CM284"/>
          <cell r="CN284"/>
          <cell r="CO284"/>
          <cell r="CP284"/>
        </row>
        <row r="285">
          <cell r="C285">
            <v>692</v>
          </cell>
          <cell r="D285" t="str">
            <v>MB274632</v>
          </cell>
          <cell r="E285" t="str">
            <v xml:space="preserve"> REINF,FR PILLAR RH</v>
          </cell>
          <cell r="H285">
            <v>1</v>
          </cell>
          <cell r="L285">
            <v>1</v>
          </cell>
          <cell r="M285">
            <v>1</v>
          </cell>
          <cell r="N285">
            <v>1</v>
          </cell>
          <cell r="P285">
            <v>1</v>
          </cell>
          <cell r="R285">
            <v>1</v>
          </cell>
          <cell r="U285">
            <v>1</v>
          </cell>
          <cell r="W285">
            <v>1</v>
          </cell>
          <cell r="AB285">
            <v>1</v>
          </cell>
          <cell r="AC285">
            <v>1</v>
          </cell>
          <cell r="AD285">
            <v>1</v>
          </cell>
          <cell r="AF285">
            <v>1</v>
          </cell>
          <cell r="AG285"/>
          <cell r="AH285">
            <v>1</v>
          </cell>
          <cell r="AI285"/>
          <cell r="AJ285"/>
          <cell r="AK285"/>
          <cell r="AL285">
            <v>1</v>
          </cell>
          <cell r="AM285">
            <v>1</v>
          </cell>
          <cell r="AN285">
            <v>1</v>
          </cell>
          <cell r="AO285">
            <v>1</v>
          </cell>
          <cell r="AP285">
            <v>1</v>
          </cell>
          <cell r="AQ285"/>
          <cell r="AR285"/>
          <cell r="AS285"/>
          <cell r="AT285"/>
          <cell r="AU285"/>
          <cell r="AV285"/>
          <cell r="AW285">
            <v>1</v>
          </cell>
          <cell r="AX285"/>
          <cell r="AY285"/>
          <cell r="AZ285" t="str">
            <v>B</v>
          </cell>
          <cell r="BA285" t="str">
            <v>부전(주)</v>
          </cell>
          <cell r="BB285" t="str">
            <v>H50A16K</v>
          </cell>
          <cell r="BC285"/>
          <cell r="BD285" t="str">
            <v>K804</v>
          </cell>
          <cell r="BE285" t="str">
            <v>S/B</v>
          </cell>
          <cell r="BF285"/>
          <cell r="BG285"/>
          <cell r="BH285"/>
          <cell r="BI285">
            <v>49</v>
          </cell>
          <cell r="BJ285">
            <v>539</v>
          </cell>
          <cell r="BK285">
            <v>28</v>
          </cell>
          <cell r="BL285">
            <v>2</v>
          </cell>
          <cell r="BM285"/>
          <cell r="BN285"/>
          <cell r="BO285"/>
          <cell r="BP285"/>
          <cell r="BQ285"/>
          <cell r="BR285"/>
          <cell r="BS285"/>
          <cell r="BT285"/>
          <cell r="BU285"/>
          <cell r="BV285"/>
          <cell r="BW285"/>
          <cell r="BX285"/>
          <cell r="BY285"/>
          <cell r="BZ285"/>
          <cell r="CA285"/>
          <cell r="CB285"/>
          <cell r="CC285"/>
          <cell r="CD285"/>
          <cell r="CE285"/>
          <cell r="CF285"/>
          <cell r="CG285"/>
          <cell r="CH285"/>
          <cell r="CI285"/>
          <cell r="CJ285"/>
          <cell r="CK285"/>
          <cell r="CL285"/>
          <cell r="CM285"/>
          <cell r="CN285"/>
          <cell r="CO285"/>
          <cell r="CP285"/>
        </row>
        <row r="286">
          <cell r="C286">
            <v>692</v>
          </cell>
          <cell r="D286" t="str">
            <v>MB274633</v>
          </cell>
          <cell r="E286" t="str">
            <v xml:space="preserve"> REINF,RR W/HSE</v>
          </cell>
          <cell r="H286">
            <v>1</v>
          </cell>
          <cell r="L286">
            <v>1</v>
          </cell>
          <cell r="M286">
            <v>1</v>
          </cell>
          <cell r="N286">
            <v>1</v>
          </cell>
          <cell r="P286">
            <v>1</v>
          </cell>
          <cell r="R286">
            <v>1</v>
          </cell>
          <cell r="U286">
            <v>1</v>
          </cell>
          <cell r="W286">
            <v>1</v>
          </cell>
          <cell r="AB286">
            <v>1</v>
          </cell>
          <cell r="AC286">
            <v>1</v>
          </cell>
          <cell r="AD286">
            <v>1</v>
          </cell>
          <cell r="AF286">
            <v>1</v>
          </cell>
          <cell r="AG286"/>
          <cell r="AH286">
            <v>1</v>
          </cell>
          <cell r="AI286"/>
          <cell r="AJ286"/>
          <cell r="AK286"/>
          <cell r="AL286">
            <v>1</v>
          </cell>
          <cell r="AM286">
            <v>1</v>
          </cell>
          <cell r="AN286">
            <v>1</v>
          </cell>
          <cell r="AO286">
            <v>1</v>
          </cell>
          <cell r="AP286">
            <v>1</v>
          </cell>
          <cell r="AQ286"/>
          <cell r="AR286"/>
          <cell r="AS286"/>
          <cell r="AT286"/>
          <cell r="AU286"/>
          <cell r="AV286"/>
          <cell r="AW286">
            <v>1</v>
          </cell>
          <cell r="AX286"/>
          <cell r="AY286"/>
          <cell r="AZ286" t="str">
            <v>B</v>
          </cell>
          <cell r="BA286" t="str">
            <v>부전(주)</v>
          </cell>
          <cell r="BB286" t="str">
            <v>H50A17K</v>
          </cell>
          <cell r="BC286"/>
          <cell r="BD286" t="str">
            <v>K804</v>
          </cell>
          <cell r="BE286" t="str">
            <v>S/B</v>
          </cell>
          <cell r="BF286"/>
          <cell r="BG286"/>
          <cell r="BH286"/>
          <cell r="BI286">
            <v>49</v>
          </cell>
          <cell r="BJ286">
            <v>539</v>
          </cell>
          <cell r="BK286">
            <v>28</v>
          </cell>
          <cell r="BL286">
            <v>2</v>
          </cell>
          <cell r="BM286"/>
          <cell r="BN286"/>
          <cell r="BO286"/>
          <cell r="BP286"/>
          <cell r="BQ286"/>
          <cell r="BR286"/>
          <cell r="BS286"/>
          <cell r="BT286"/>
          <cell r="BU286"/>
          <cell r="BV286"/>
          <cell r="BW286"/>
          <cell r="BX286"/>
          <cell r="BY286"/>
          <cell r="BZ286"/>
          <cell r="CA286"/>
          <cell r="CB286"/>
          <cell r="CC286"/>
          <cell r="CD286"/>
          <cell r="CE286"/>
          <cell r="CF286"/>
          <cell r="CG286"/>
          <cell r="CH286"/>
          <cell r="CI286"/>
          <cell r="CJ286"/>
          <cell r="CK286"/>
          <cell r="CL286"/>
          <cell r="CM286"/>
          <cell r="CN286"/>
          <cell r="CO286"/>
          <cell r="CP286"/>
        </row>
        <row r="287">
          <cell r="C287">
            <v>692</v>
          </cell>
          <cell r="D287" t="str">
            <v>MB274634</v>
          </cell>
          <cell r="E287" t="str">
            <v xml:space="preserve"> REINF,RR W/HSE</v>
          </cell>
          <cell r="H287">
            <v>1</v>
          </cell>
          <cell r="L287">
            <v>1</v>
          </cell>
          <cell r="M287">
            <v>1</v>
          </cell>
          <cell r="N287">
            <v>1</v>
          </cell>
          <cell r="P287">
            <v>1</v>
          </cell>
          <cell r="R287">
            <v>1</v>
          </cell>
          <cell r="U287">
            <v>1</v>
          </cell>
          <cell r="W287">
            <v>1</v>
          </cell>
          <cell r="AB287">
            <v>1</v>
          </cell>
          <cell r="AC287">
            <v>1</v>
          </cell>
          <cell r="AD287">
            <v>1</v>
          </cell>
          <cell r="AF287">
            <v>1</v>
          </cell>
          <cell r="AG287"/>
          <cell r="AH287">
            <v>1</v>
          </cell>
          <cell r="AI287"/>
          <cell r="AJ287"/>
          <cell r="AK287"/>
          <cell r="AL287">
            <v>1</v>
          </cell>
          <cell r="AM287">
            <v>1</v>
          </cell>
          <cell r="AN287">
            <v>1</v>
          </cell>
          <cell r="AO287">
            <v>1</v>
          </cell>
          <cell r="AP287">
            <v>1</v>
          </cell>
          <cell r="AQ287"/>
          <cell r="AR287"/>
          <cell r="AS287"/>
          <cell r="AT287"/>
          <cell r="AU287"/>
          <cell r="AV287"/>
          <cell r="AW287">
            <v>1</v>
          </cell>
          <cell r="AX287"/>
          <cell r="AY287"/>
          <cell r="AZ287" t="str">
            <v>B</v>
          </cell>
          <cell r="BA287" t="str">
            <v>부전(주)</v>
          </cell>
          <cell r="BB287" t="str">
            <v>H50A17K</v>
          </cell>
          <cell r="BC287"/>
          <cell r="BD287" t="str">
            <v>K804</v>
          </cell>
          <cell r="BE287" t="str">
            <v>S/B</v>
          </cell>
          <cell r="BF287"/>
          <cell r="BG287"/>
          <cell r="BH287"/>
          <cell r="BI287">
            <v>49</v>
          </cell>
          <cell r="BJ287">
            <v>539</v>
          </cell>
          <cell r="BK287">
            <v>28</v>
          </cell>
          <cell r="BL287">
            <v>2</v>
          </cell>
          <cell r="BM287"/>
          <cell r="BN287"/>
          <cell r="BO287"/>
          <cell r="BP287"/>
          <cell r="BQ287"/>
          <cell r="BR287"/>
          <cell r="BS287"/>
          <cell r="BT287"/>
          <cell r="BU287"/>
          <cell r="BV287"/>
          <cell r="BW287"/>
          <cell r="BX287"/>
          <cell r="BY287"/>
          <cell r="BZ287"/>
          <cell r="CA287"/>
          <cell r="CB287"/>
          <cell r="CC287"/>
          <cell r="CD287"/>
          <cell r="CE287"/>
          <cell r="CF287"/>
          <cell r="CG287"/>
          <cell r="CH287"/>
          <cell r="CI287"/>
          <cell r="CJ287"/>
          <cell r="CK287"/>
          <cell r="CL287"/>
          <cell r="CM287"/>
          <cell r="CN287"/>
          <cell r="CO287"/>
          <cell r="CP287"/>
        </row>
        <row r="288">
          <cell r="C288">
            <v>2337</v>
          </cell>
          <cell r="D288" t="str">
            <v>MB274661A</v>
          </cell>
          <cell r="E288" t="str">
            <v xml:space="preserve"> REINF,FENDER SHIELD RR LH</v>
          </cell>
          <cell r="F288" t="str">
            <v>-561A</v>
          </cell>
          <cell r="H288">
            <v>1</v>
          </cell>
          <cell r="I288">
            <v>1</v>
          </cell>
          <cell r="J288">
            <v>1</v>
          </cell>
          <cell r="K288">
            <v>1</v>
          </cell>
          <cell r="L288">
            <v>1</v>
          </cell>
          <cell r="M288">
            <v>1</v>
          </cell>
          <cell r="N288">
            <v>1</v>
          </cell>
          <cell r="O288">
            <v>1</v>
          </cell>
          <cell r="P288">
            <v>1</v>
          </cell>
          <cell r="Q288">
            <v>1</v>
          </cell>
          <cell r="R288">
            <v>1</v>
          </cell>
          <cell r="S288">
            <v>1</v>
          </cell>
          <cell r="T288">
            <v>1</v>
          </cell>
          <cell r="U288">
            <v>1</v>
          </cell>
          <cell r="V288">
            <v>1</v>
          </cell>
          <cell r="W288">
            <v>1</v>
          </cell>
          <cell r="X288">
            <v>1</v>
          </cell>
          <cell r="Y288">
            <v>1</v>
          </cell>
          <cell r="Z288">
            <v>1</v>
          </cell>
          <cell r="AA288">
            <v>1</v>
          </cell>
          <cell r="AB288">
            <v>1</v>
          </cell>
          <cell r="AC288">
            <v>1</v>
          </cell>
          <cell r="AD288">
            <v>1</v>
          </cell>
          <cell r="AZ288" t="str">
            <v>B</v>
          </cell>
          <cell r="BA288" t="str">
            <v>부전(주)</v>
          </cell>
          <cell r="BB288" t="str">
            <v>H50A14K</v>
          </cell>
          <cell r="BD288" t="str">
            <v>K804</v>
          </cell>
          <cell r="BE288" t="str">
            <v>ALL</v>
          </cell>
          <cell r="BI288">
            <v>937</v>
          </cell>
          <cell r="BJ288">
            <v>997</v>
          </cell>
          <cell r="BK288">
            <v>0</v>
          </cell>
          <cell r="BL288">
            <v>0</v>
          </cell>
          <cell r="BM288"/>
          <cell r="BN288"/>
          <cell r="BO288"/>
          <cell r="BP288"/>
          <cell r="BQ288"/>
          <cell r="BR288"/>
          <cell r="BS288"/>
          <cell r="BT288"/>
          <cell r="BU288"/>
          <cell r="BV288"/>
          <cell r="BW288"/>
          <cell r="BX288"/>
          <cell r="BY288"/>
          <cell r="BZ288"/>
          <cell r="CA288"/>
          <cell r="CB288"/>
          <cell r="CC288"/>
          <cell r="CD288"/>
          <cell r="CE288"/>
          <cell r="CF288"/>
          <cell r="CG288"/>
          <cell r="CH288"/>
          <cell r="CI288"/>
          <cell r="CJ288"/>
          <cell r="CK288"/>
          <cell r="CL288"/>
          <cell r="CM288"/>
          <cell r="CN288"/>
          <cell r="CO288"/>
          <cell r="CP288"/>
        </row>
        <row r="289">
          <cell r="C289">
            <v>2337</v>
          </cell>
          <cell r="D289" t="str">
            <v>MB274662A</v>
          </cell>
          <cell r="E289" t="str">
            <v xml:space="preserve"> REINF,FENDER SHIELD,RR RH</v>
          </cell>
          <cell r="F289" t="str">
            <v>-561A</v>
          </cell>
          <cell r="H289">
            <v>1</v>
          </cell>
          <cell r="I289">
            <v>1</v>
          </cell>
          <cell r="J289">
            <v>1</v>
          </cell>
          <cell r="K289">
            <v>1</v>
          </cell>
          <cell r="L289">
            <v>1</v>
          </cell>
          <cell r="M289">
            <v>1</v>
          </cell>
          <cell r="N289">
            <v>1</v>
          </cell>
          <cell r="O289">
            <v>1</v>
          </cell>
          <cell r="P289">
            <v>1</v>
          </cell>
          <cell r="Q289">
            <v>1</v>
          </cell>
          <cell r="R289">
            <v>1</v>
          </cell>
          <cell r="S289">
            <v>1</v>
          </cell>
          <cell r="T289">
            <v>1</v>
          </cell>
          <cell r="U289">
            <v>1</v>
          </cell>
          <cell r="V289">
            <v>1</v>
          </cell>
          <cell r="W289">
            <v>1</v>
          </cell>
          <cell r="X289">
            <v>1</v>
          </cell>
          <cell r="Y289">
            <v>1</v>
          </cell>
          <cell r="Z289">
            <v>1</v>
          </cell>
          <cell r="AA289">
            <v>1</v>
          </cell>
          <cell r="AB289">
            <v>1</v>
          </cell>
          <cell r="AC289">
            <v>1</v>
          </cell>
          <cell r="AD289">
            <v>1</v>
          </cell>
          <cell r="AZ289" t="str">
            <v>B</v>
          </cell>
          <cell r="BA289" t="str">
            <v>부전(주)</v>
          </cell>
          <cell r="BB289" t="str">
            <v>H50A14K</v>
          </cell>
          <cell r="BD289" t="str">
            <v>K804</v>
          </cell>
          <cell r="BE289" t="str">
            <v>ALL</v>
          </cell>
          <cell r="BI289">
            <v>937</v>
          </cell>
          <cell r="BJ289">
            <v>997</v>
          </cell>
          <cell r="BK289">
            <v>0</v>
          </cell>
          <cell r="BL289">
            <v>0</v>
          </cell>
          <cell r="BM289"/>
          <cell r="BN289"/>
          <cell r="BO289"/>
          <cell r="BP289"/>
          <cell r="BQ289"/>
          <cell r="BR289"/>
          <cell r="BS289"/>
          <cell r="BT289"/>
          <cell r="BU289"/>
          <cell r="BV289"/>
          <cell r="BW289"/>
          <cell r="BX289"/>
          <cell r="BY289"/>
          <cell r="BZ289"/>
          <cell r="CA289"/>
          <cell r="CB289"/>
          <cell r="CC289"/>
          <cell r="CD289"/>
          <cell r="CE289"/>
          <cell r="CF289"/>
          <cell r="CG289"/>
          <cell r="CH289"/>
          <cell r="CI289"/>
          <cell r="CJ289"/>
          <cell r="CK289"/>
          <cell r="CL289"/>
          <cell r="CM289"/>
          <cell r="CN289"/>
          <cell r="CO289"/>
          <cell r="CP289"/>
        </row>
        <row r="290">
          <cell r="C290">
            <v>2584</v>
          </cell>
          <cell r="D290" t="str">
            <v>MB274713</v>
          </cell>
          <cell r="E290" t="str">
            <v xml:space="preserve"> REINF,BODY MT'G NO1(D) LH</v>
          </cell>
          <cell r="G290">
            <v>1</v>
          </cell>
          <cell r="AZ290" t="str">
            <v>B</v>
          </cell>
          <cell r="BA290" t="str">
            <v>부전(주)</v>
          </cell>
          <cell r="BB290" t="str">
            <v>H50A15K</v>
          </cell>
          <cell r="BD290" t="str">
            <v>K804</v>
          </cell>
          <cell r="BE290" t="str">
            <v>ALL</v>
          </cell>
          <cell r="BI290">
            <v>0</v>
          </cell>
          <cell r="BJ290">
            <v>0</v>
          </cell>
          <cell r="BK290">
            <v>0</v>
          </cell>
          <cell r="BL290">
            <v>0</v>
          </cell>
          <cell r="BM290"/>
          <cell r="BN290"/>
          <cell r="BO290"/>
          <cell r="BP290"/>
          <cell r="BQ290"/>
          <cell r="BR290"/>
          <cell r="BS290"/>
          <cell r="BT290"/>
          <cell r="BU290"/>
          <cell r="BV290"/>
          <cell r="BW290"/>
          <cell r="BX290"/>
          <cell r="BY290"/>
          <cell r="BZ290"/>
          <cell r="CA290"/>
          <cell r="CB290"/>
          <cell r="CC290"/>
          <cell r="CD290"/>
          <cell r="CE290"/>
          <cell r="CF290"/>
          <cell r="CG290"/>
          <cell r="CH290"/>
          <cell r="CI290"/>
          <cell r="CJ290"/>
          <cell r="CK290"/>
        </row>
        <row r="291">
          <cell r="C291">
            <v>2584</v>
          </cell>
          <cell r="D291" t="str">
            <v>MB274714</v>
          </cell>
          <cell r="E291" t="str">
            <v xml:space="preserve"> REINF,BODY MT'G NO1(D) RH</v>
          </cell>
          <cell r="G291">
            <v>1</v>
          </cell>
          <cell r="AZ291" t="str">
            <v>B</v>
          </cell>
          <cell r="BA291" t="str">
            <v>부전(주)</v>
          </cell>
          <cell r="BB291" t="str">
            <v>H50A15K</v>
          </cell>
          <cell r="BD291" t="str">
            <v>K804</v>
          </cell>
          <cell r="BE291" t="str">
            <v>ALL</v>
          </cell>
          <cell r="BI291">
            <v>0</v>
          </cell>
          <cell r="BJ291">
            <v>0</v>
          </cell>
          <cell r="BK291">
            <v>0</v>
          </cell>
          <cell r="BL291">
            <v>0</v>
          </cell>
          <cell r="BM291"/>
          <cell r="BN291"/>
          <cell r="BO291"/>
          <cell r="BP291"/>
          <cell r="BQ291"/>
          <cell r="BR291"/>
          <cell r="BS291"/>
          <cell r="BT291"/>
          <cell r="BU291"/>
          <cell r="BV291"/>
          <cell r="BW291"/>
          <cell r="BX291"/>
          <cell r="BY291"/>
          <cell r="BZ291"/>
          <cell r="CA291"/>
          <cell r="CB291"/>
          <cell r="CC291"/>
          <cell r="CD291"/>
          <cell r="CE291"/>
          <cell r="CF291"/>
          <cell r="CG291"/>
          <cell r="CH291"/>
          <cell r="CI291"/>
          <cell r="CJ291"/>
          <cell r="CK291"/>
        </row>
        <row r="292">
          <cell r="C292">
            <v>2584</v>
          </cell>
          <cell r="D292" t="str">
            <v>MB274715A</v>
          </cell>
          <cell r="E292" t="str">
            <v xml:space="preserve"> BULK HEAD,BODY MT'G NO1(A) LH</v>
          </cell>
          <cell r="G292">
            <v>1</v>
          </cell>
          <cell r="AZ292" t="str">
            <v>B</v>
          </cell>
          <cell r="BA292" t="str">
            <v>부전(주)</v>
          </cell>
          <cell r="BB292" t="str">
            <v>H50A15K</v>
          </cell>
          <cell r="BD292" t="str">
            <v>K804</v>
          </cell>
          <cell r="BE292" t="str">
            <v>ALL</v>
          </cell>
          <cell r="BI292">
            <v>0</v>
          </cell>
          <cell r="BJ292">
            <v>0</v>
          </cell>
          <cell r="BK292">
            <v>0</v>
          </cell>
          <cell r="BL292">
            <v>0</v>
          </cell>
          <cell r="BM292"/>
          <cell r="BN292"/>
          <cell r="BO292"/>
          <cell r="BP292"/>
          <cell r="BQ292"/>
          <cell r="BR292"/>
          <cell r="BS292"/>
          <cell r="BT292"/>
          <cell r="BU292"/>
          <cell r="BV292"/>
          <cell r="BW292"/>
          <cell r="BX292"/>
          <cell r="BY292"/>
          <cell r="BZ292"/>
          <cell r="CA292"/>
          <cell r="CB292"/>
          <cell r="CC292"/>
          <cell r="CD292"/>
          <cell r="CE292"/>
          <cell r="CF292"/>
          <cell r="CG292"/>
          <cell r="CH292"/>
          <cell r="CI292"/>
          <cell r="CJ292"/>
          <cell r="CK292"/>
        </row>
        <row r="293">
          <cell r="C293">
            <v>2584</v>
          </cell>
          <cell r="D293" t="str">
            <v>MB274716A</v>
          </cell>
          <cell r="E293" t="str">
            <v xml:space="preserve"> BULK HEAD,BODY MT'G NO1(A) RH</v>
          </cell>
          <cell r="G293">
            <v>1</v>
          </cell>
          <cell r="AZ293" t="str">
            <v>B</v>
          </cell>
          <cell r="BA293" t="str">
            <v>부전(주)</v>
          </cell>
          <cell r="BB293" t="str">
            <v>H50A15K</v>
          </cell>
          <cell r="BD293" t="str">
            <v>K804</v>
          </cell>
          <cell r="BE293" t="str">
            <v>ALL</v>
          </cell>
          <cell r="BI293">
            <v>0</v>
          </cell>
          <cell r="BJ293">
            <v>0</v>
          </cell>
          <cell r="BK293">
            <v>0</v>
          </cell>
          <cell r="BL293">
            <v>0</v>
          </cell>
          <cell r="BM293"/>
          <cell r="BN293"/>
          <cell r="BO293"/>
          <cell r="BP293"/>
          <cell r="BQ293"/>
          <cell r="BR293"/>
          <cell r="BS293"/>
          <cell r="BT293"/>
          <cell r="BU293"/>
          <cell r="BV293"/>
          <cell r="BW293"/>
          <cell r="BX293"/>
          <cell r="BY293"/>
          <cell r="BZ293"/>
          <cell r="CA293"/>
          <cell r="CB293"/>
          <cell r="CC293"/>
          <cell r="CD293"/>
          <cell r="CE293"/>
          <cell r="CF293"/>
          <cell r="CG293"/>
          <cell r="CH293"/>
          <cell r="CI293"/>
          <cell r="CJ293"/>
          <cell r="CK293"/>
        </row>
        <row r="294">
          <cell r="C294">
            <v>2584</v>
          </cell>
          <cell r="D294" t="str">
            <v>MB274717</v>
          </cell>
          <cell r="E294" t="str">
            <v xml:space="preserve"> BULK HEAD,BODY MT'G NO1(B) LH</v>
          </cell>
          <cell r="G294">
            <v>1</v>
          </cell>
          <cell r="AZ294" t="str">
            <v>B</v>
          </cell>
          <cell r="BA294" t="str">
            <v>부전(주)</v>
          </cell>
          <cell r="BB294" t="str">
            <v>H50A15K</v>
          </cell>
          <cell r="BD294" t="str">
            <v>K804</v>
          </cell>
          <cell r="BE294" t="str">
            <v>ALL</v>
          </cell>
          <cell r="BI294">
            <v>0</v>
          </cell>
          <cell r="BJ294">
            <v>0</v>
          </cell>
          <cell r="BK294">
            <v>0</v>
          </cell>
          <cell r="BL294">
            <v>0</v>
          </cell>
          <cell r="BM294"/>
          <cell r="BN294"/>
          <cell r="BO294"/>
          <cell r="BP294"/>
          <cell r="BQ294"/>
          <cell r="BR294"/>
          <cell r="BS294"/>
          <cell r="BT294"/>
          <cell r="BU294"/>
          <cell r="BV294"/>
          <cell r="BW294"/>
          <cell r="BX294"/>
          <cell r="BY294"/>
          <cell r="BZ294"/>
          <cell r="CA294"/>
          <cell r="CB294"/>
          <cell r="CC294"/>
          <cell r="CD294"/>
          <cell r="CE294"/>
          <cell r="CF294"/>
          <cell r="CG294"/>
          <cell r="CH294"/>
          <cell r="CI294"/>
          <cell r="CJ294"/>
          <cell r="CK294"/>
        </row>
        <row r="295">
          <cell r="C295">
            <v>2584</v>
          </cell>
          <cell r="D295" t="str">
            <v>MB274718</v>
          </cell>
          <cell r="E295" t="str">
            <v xml:space="preserve"> BULK HEAD,BODY MT'G NO1(B) RH</v>
          </cell>
          <cell r="G295">
            <v>1</v>
          </cell>
          <cell r="AZ295" t="str">
            <v>B</v>
          </cell>
          <cell r="BA295" t="str">
            <v>부전(주)</v>
          </cell>
          <cell r="BB295" t="str">
            <v>H50A15K</v>
          </cell>
          <cell r="BD295" t="str">
            <v>K804</v>
          </cell>
          <cell r="BE295" t="str">
            <v>ALL</v>
          </cell>
          <cell r="BI295">
            <v>0</v>
          </cell>
          <cell r="BJ295">
            <v>0</v>
          </cell>
          <cell r="BK295">
            <v>0</v>
          </cell>
          <cell r="BL295">
            <v>0</v>
          </cell>
          <cell r="BM295"/>
          <cell r="BN295"/>
          <cell r="BO295"/>
          <cell r="BP295"/>
          <cell r="BQ295"/>
          <cell r="BR295"/>
          <cell r="BS295"/>
          <cell r="BT295"/>
          <cell r="BU295"/>
          <cell r="BV295"/>
          <cell r="BW295"/>
          <cell r="BX295"/>
          <cell r="BY295"/>
          <cell r="BZ295"/>
          <cell r="CA295"/>
          <cell r="CB295"/>
          <cell r="CC295"/>
          <cell r="CD295"/>
          <cell r="CE295"/>
          <cell r="CF295"/>
          <cell r="CG295"/>
          <cell r="CH295"/>
          <cell r="CI295"/>
          <cell r="CJ295"/>
          <cell r="CK295"/>
        </row>
        <row r="296">
          <cell r="C296">
            <v>2584</v>
          </cell>
          <cell r="D296" t="str">
            <v>MB274751</v>
          </cell>
          <cell r="E296" t="str">
            <v xml:space="preserve"> REINF,COWL TOP INR LH</v>
          </cell>
          <cell r="G296">
            <v>1</v>
          </cell>
          <cell r="AZ296" t="str">
            <v>B</v>
          </cell>
          <cell r="BA296" t="str">
            <v>부전(주)</v>
          </cell>
          <cell r="BB296" t="str">
            <v>H50A18K</v>
          </cell>
          <cell r="BD296" t="str">
            <v>K804</v>
          </cell>
          <cell r="BE296" t="str">
            <v>ALL</v>
          </cell>
          <cell r="BI296">
            <v>0</v>
          </cell>
          <cell r="BJ296">
            <v>0</v>
          </cell>
          <cell r="BK296">
            <v>0</v>
          </cell>
          <cell r="BL296">
            <v>0</v>
          </cell>
          <cell r="BM296"/>
          <cell r="BN296"/>
          <cell r="BO296"/>
          <cell r="BP296"/>
          <cell r="BQ296"/>
          <cell r="BR296"/>
          <cell r="BS296"/>
          <cell r="BT296"/>
          <cell r="BU296"/>
          <cell r="BV296"/>
          <cell r="BW296"/>
          <cell r="BX296"/>
          <cell r="BY296"/>
          <cell r="BZ296"/>
          <cell r="CA296"/>
          <cell r="CB296"/>
          <cell r="CC296"/>
          <cell r="CD296"/>
          <cell r="CE296"/>
          <cell r="CF296"/>
          <cell r="CG296"/>
          <cell r="CH296"/>
          <cell r="CI296"/>
          <cell r="CJ296"/>
          <cell r="CK296"/>
        </row>
        <row r="297">
          <cell r="C297">
            <v>2584</v>
          </cell>
          <cell r="D297" t="str">
            <v>MB274752</v>
          </cell>
          <cell r="E297" t="str">
            <v xml:space="preserve"> REINF,COWL TOP INR RH</v>
          </cell>
          <cell r="G297">
            <v>1</v>
          </cell>
          <cell r="AZ297" t="str">
            <v>B</v>
          </cell>
          <cell r="BA297" t="str">
            <v>부전(주)</v>
          </cell>
          <cell r="BB297" t="str">
            <v>H50A18K</v>
          </cell>
          <cell r="BD297" t="str">
            <v>K804</v>
          </cell>
          <cell r="BE297" t="str">
            <v>ALL</v>
          </cell>
          <cell r="BI297">
            <v>0</v>
          </cell>
          <cell r="BJ297">
            <v>0</v>
          </cell>
          <cell r="BK297">
            <v>0</v>
          </cell>
          <cell r="BL297">
            <v>0</v>
          </cell>
          <cell r="BM297"/>
          <cell r="BN297"/>
          <cell r="BO297"/>
          <cell r="BP297"/>
          <cell r="BQ297"/>
          <cell r="BR297"/>
          <cell r="BS297"/>
          <cell r="BT297"/>
          <cell r="BU297"/>
          <cell r="BV297"/>
          <cell r="BW297"/>
          <cell r="BX297"/>
          <cell r="BY297"/>
          <cell r="BZ297"/>
          <cell r="CA297"/>
          <cell r="CB297"/>
          <cell r="CC297"/>
          <cell r="CD297"/>
          <cell r="CE297"/>
          <cell r="CF297"/>
          <cell r="CG297"/>
          <cell r="CH297"/>
          <cell r="CI297"/>
          <cell r="CJ297"/>
          <cell r="CK297"/>
        </row>
        <row r="298">
          <cell r="C298">
            <v>2584</v>
          </cell>
          <cell r="D298" t="str">
            <v>MB274753A</v>
          </cell>
          <cell r="E298" t="str">
            <v xml:space="preserve"> BRKT,FENDER LH</v>
          </cell>
          <cell r="G298">
            <v>1</v>
          </cell>
          <cell r="AZ298" t="str">
            <v>B</v>
          </cell>
          <cell r="BA298" t="str">
            <v>부전(주)</v>
          </cell>
          <cell r="BB298" t="str">
            <v>H50A16K</v>
          </cell>
          <cell r="BD298" t="str">
            <v>K804</v>
          </cell>
          <cell r="BE298" t="str">
            <v>ALL</v>
          </cell>
          <cell r="BI298">
            <v>0</v>
          </cell>
          <cell r="BJ298">
            <v>0</v>
          </cell>
          <cell r="BK298">
            <v>0</v>
          </cell>
          <cell r="BL298">
            <v>0</v>
          </cell>
          <cell r="BM298"/>
          <cell r="BN298"/>
          <cell r="BO298"/>
          <cell r="BP298"/>
          <cell r="BQ298"/>
          <cell r="BR298"/>
          <cell r="BS298"/>
          <cell r="BT298"/>
          <cell r="BU298"/>
          <cell r="BV298"/>
          <cell r="BW298"/>
          <cell r="BX298"/>
          <cell r="BY298"/>
          <cell r="BZ298"/>
          <cell r="CA298"/>
          <cell r="CB298"/>
          <cell r="CC298"/>
          <cell r="CD298"/>
          <cell r="CE298"/>
          <cell r="CF298"/>
          <cell r="CG298"/>
          <cell r="CH298"/>
          <cell r="CI298"/>
          <cell r="CJ298"/>
          <cell r="CK298"/>
        </row>
        <row r="299">
          <cell r="C299">
            <v>2584</v>
          </cell>
          <cell r="D299" t="str">
            <v>MB274754A</v>
          </cell>
          <cell r="E299" t="str">
            <v xml:space="preserve"> BRKT,FENDER RH</v>
          </cell>
          <cell r="G299">
            <v>1</v>
          </cell>
          <cell r="AZ299" t="str">
            <v>B</v>
          </cell>
          <cell r="BA299" t="str">
            <v>부전(주)</v>
          </cell>
          <cell r="BB299" t="str">
            <v>H50A16K</v>
          </cell>
          <cell r="BD299" t="str">
            <v>K804</v>
          </cell>
          <cell r="BE299" t="str">
            <v>ALL</v>
          </cell>
          <cell r="BI299">
            <v>0</v>
          </cell>
          <cell r="BJ299">
            <v>0</v>
          </cell>
          <cell r="BK299">
            <v>0</v>
          </cell>
          <cell r="BL299">
            <v>0</v>
          </cell>
          <cell r="BM299"/>
          <cell r="BN299"/>
          <cell r="BO299"/>
          <cell r="BP299"/>
          <cell r="BQ299"/>
          <cell r="BR299"/>
          <cell r="BS299"/>
          <cell r="BT299"/>
          <cell r="BU299"/>
          <cell r="BV299"/>
          <cell r="BW299"/>
          <cell r="BX299"/>
          <cell r="BY299"/>
          <cell r="BZ299"/>
          <cell r="CA299"/>
          <cell r="CB299"/>
          <cell r="CC299"/>
          <cell r="CD299"/>
          <cell r="CE299"/>
          <cell r="CF299"/>
          <cell r="CG299"/>
          <cell r="CH299"/>
          <cell r="CI299"/>
          <cell r="CJ299"/>
          <cell r="CK299"/>
        </row>
        <row r="300">
          <cell r="C300">
            <v>3552</v>
          </cell>
          <cell r="D300" t="str">
            <v>MB274775A</v>
          </cell>
          <cell r="E300" t="str">
            <v xml:space="preserve"> COVER,RR FLR EXTENTION</v>
          </cell>
          <cell r="I300">
            <v>2</v>
          </cell>
          <cell r="J300">
            <v>2</v>
          </cell>
          <cell r="K300">
            <v>2</v>
          </cell>
          <cell r="O300">
            <v>2</v>
          </cell>
          <cell r="Q300">
            <v>2</v>
          </cell>
          <cell r="S300">
            <v>2</v>
          </cell>
          <cell r="T300">
            <v>2</v>
          </cell>
          <cell r="V300">
            <v>2</v>
          </cell>
          <cell r="Y300">
            <v>2</v>
          </cell>
          <cell r="Z300">
            <v>2</v>
          </cell>
          <cell r="AA300">
            <v>2</v>
          </cell>
          <cell r="AG300">
            <v>2</v>
          </cell>
          <cell r="AJ300">
            <v>2</v>
          </cell>
          <cell r="AK300">
            <v>2</v>
          </cell>
          <cell r="AQ300">
            <v>2</v>
          </cell>
          <cell r="AS300">
            <v>2</v>
          </cell>
          <cell r="AU300">
            <v>2</v>
          </cell>
          <cell r="AV300">
            <v>2</v>
          </cell>
          <cell r="AX300">
            <v>2</v>
          </cell>
          <cell r="AZ300" t="str">
            <v>T</v>
          </cell>
          <cell r="BA300" t="str">
            <v>부전(주)</v>
          </cell>
          <cell r="BB300" t="str">
            <v>H50C90K</v>
          </cell>
          <cell r="BD300" t="str">
            <v>K804</v>
          </cell>
          <cell r="BI300" t="e">
            <v>#REF!</v>
          </cell>
          <cell r="BJ300" t="e">
            <v>#REF!</v>
          </cell>
          <cell r="BK300" t="e">
            <v>#REF!</v>
          </cell>
          <cell r="BL300" t="e">
            <v>#REF!</v>
          </cell>
          <cell r="BM300"/>
          <cell r="BN300"/>
          <cell r="BO300"/>
          <cell r="BP300"/>
          <cell r="BQ300"/>
          <cell r="BR300"/>
          <cell r="BS300"/>
          <cell r="BT300"/>
          <cell r="BU300"/>
          <cell r="BV300"/>
          <cell r="BW300"/>
          <cell r="BX300"/>
          <cell r="BY300"/>
          <cell r="BZ300"/>
          <cell r="CA300"/>
          <cell r="CB300"/>
          <cell r="CC300"/>
          <cell r="CD300"/>
          <cell r="CE300"/>
          <cell r="CF300"/>
          <cell r="CG300"/>
          <cell r="CH300"/>
          <cell r="CI300"/>
          <cell r="CJ300"/>
          <cell r="CK300"/>
          <cell r="CL300"/>
          <cell r="CM300"/>
        </row>
        <row r="301">
          <cell r="C301">
            <v>1899</v>
          </cell>
          <cell r="D301" t="str">
            <v>MB274985A</v>
          </cell>
          <cell r="E301" t="str">
            <v xml:space="preserve"> PLATE,TOOL BOX</v>
          </cell>
          <cell r="I301">
            <v>1</v>
          </cell>
          <cell r="J301">
            <v>1</v>
          </cell>
          <cell r="K301">
            <v>1</v>
          </cell>
          <cell r="O301">
            <v>1</v>
          </cell>
          <cell r="Q301">
            <v>1</v>
          </cell>
          <cell r="S301">
            <v>1</v>
          </cell>
          <cell r="T301">
            <v>1</v>
          </cell>
          <cell r="V301">
            <v>1</v>
          </cell>
          <cell r="X301">
            <v>1</v>
          </cell>
          <cell r="Y301">
            <v>1</v>
          </cell>
          <cell r="Z301">
            <v>1</v>
          </cell>
          <cell r="AA301">
            <v>1</v>
          </cell>
          <cell r="AE301">
            <v>1</v>
          </cell>
          <cell r="AG301">
            <v>1</v>
          </cell>
          <cell r="AI301">
            <v>1</v>
          </cell>
          <cell r="AJ301">
            <v>1</v>
          </cell>
          <cell r="AK301">
            <v>1</v>
          </cell>
          <cell r="AN301">
            <v>1</v>
          </cell>
          <cell r="AQ301">
            <v>1</v>
          </cell>
          <cell r="AR301">
            <v>1</v>
          </cell>
          <cell r="AS301">
            <v>1</v>
          </cell>
          <cell r="AT301">
            <v>1</v>
          </cell>
          <cell r="AU301">
            <v>1</v>
          </cell>
          <cell r="AV301">
            <v>1</v>
          </cell>
          <cell r="AX301">
            <v>1</v>
          </cell>
          <cell r="AY301">
            <v>1</v>
          </cell>
          <cell r="AZ301" t="str">
            <v>B</v>
          </cell>
          <cell r="BA301" t="str">
            <v>부전(주)</v>
          </cell>
          <cell r="BB301" t="str">
            <v>H50A11K</v>
          </cell>
          <cell r="BD301" t="str">
            <v>K804</v>
          </cell>
          <cell r="BI301">
            <v>888</v>
          </cell>
          <cell r="BJ301">
            <v>458</v>
          </cell>
          <cell r="BK301">
            <v>97</v>
          </cell>
          <cell r="BL301">
            <v>100</v>
          </cell>
          <cell r="BM301"/>
          <cell r="BN301"/>
          <cell r="BO301"/>
          <cell r="BP301"/>
          <cell r="BQ301"/>
          <cell r="BR301"/>
          <cell r="BS301"/>
          <cell r="BT301"/>
          <cell r="BU301"/>
          <cell r="BV301"/>
          <cell r="BW301"/>
          <cell r="BX301"/>
          <cell r="BY301"/>
          <cell r="BZ301"/>
          <cell r="CA301"/>
          <cell r="CB301"/>
          <cell r="CC301"/>
          <cell r="CD301"/>
          <cell r="CE301"/>
          <cell r="CF301"/>
          <cell r="CG301"/>
          <cell r="CH301"/>
          <cell r="CI301"/>
          <cell r="CJ301"/>
          <cell r="CK301"/>
          <cell r="CL301"/>
          <cell r="CM301"/>
          <cell r="CN301"/>
          <cell r="CO301"/>
          <cell r="CP301"/>
          <cell r="CQ301"/>
        </row>
        <row r="302">
          <cell r="C302">
            <v>514</v>
          </cell>
          <cell r="D302" t="str">
            <v>MB275024</v>
          </cell>
          <cell r="E302" t="str">
            <v xml:space="preserve"> BRKT-ROOF BOW RH</v>
          </cell>
          <cell r="S302">
            <v>1</v>
          </cell>
          <cell r="T302">
            <v>1</v>
          </cell>
          <cell r="Y302">
            <v>1</v>
          </cell>
          <cell r="Z302">
            <v>1</v>
          </cell>
          <cell r="AA302">
            <v>1</v>
          </cell>
          <cell r="AU302">
            <v>1</v>
          </cell>
          <cell r="AV302">
            <v>1</v>
          </cell>
          <cell r="AX302">
            <v>1</v>
          </cell>
          <cell r="AY302">
            <v>1</v>
          </cell>
          <cell r="AZ302" t="str">
            <v>B</v>
          </cell>
          <cell r="BA302" t="str">
            <v>부전(주)</v>
          </cell>
          <cell r="BB302" t="str">
            <v>H50A17K</v>
          </cell>
          <cell r="BC302" t="str">
            <v>H2</v>
          </cell>
          <cell r="BD302" t="str">
            <v>K804</v>
          </cell>
          <cell r="BE302" t="str">
            <v>HR'</v>
          </cell>
          <cell r="BI302">
            <v>0</v>
          </cell>
          <cell r="BJ302">
            <v>456</v>
          </cell>
          <cell r="BK302">
            <v>0</v>
          </cell>
          <cell r="BL302">
            <v>35</v>
          </cell>
          <cell r="BM302"/>
          <cell r="BN302"/>
          <cell r="BO302"/>
          <cell r="BP302"/>
          <cell r="BQ302"/>
          <cell r="BR302"/>
          <cell r="BS302"/>
          <cell r="BT302"/>
          <cell r="BU302"/>
          <cell r="BV302"/>
          <cell r="BW302"/>
          <cell r="BX302"/>
          <cell r="BY302"/>
          <cell r="BZ302"/>
          <cell r="CA302"/>
          <cell r="CB302"/>
          <cell r="CC302"/>
          <cell r="CD302"/>
          <cell r="CE302"/>
          <cell r="CF302"/>
          <cell r="CG302"/>
          <cell r="CH302"/>
          <cell r="CI302"/>
          <cell r="CJ302"/>
          <cell r="CK302"/>
          <cell r="CL302"/>
          <cell r="CM302"/>
        </row>
        <row r="303">
          <cell r="C303">
            <v>514</v>
          </cell>
          <cell r="D303" t="str">
            <v>MB275027</v>
          </cell>
          <cell r="E303" t="str">
            <v xml:space="preserve"> BRKT-ROOF BOW LH</v>
          </cell>
          <cell r="S303">
            <v>1</v>
          </cell>
          <cell r="T303">
            <v>1</v>
          </cell>
          <cell r="Y303">
            <v>1</v>
          </cell>
          <cell r="Z303">
            <v>1</v>
          </cell>
          <cell r="AA303">
            <v>1</v>
          </cell>
          <cell r="AU303">
            <v>1</v>
          </cell>
          <cell r="AV303">
            <v>1</v>
          </cell>
          <cell r="AX303">
            <v>1</v>
          </cell>
          <cell r="AY303">
            <v>1</v>
          </cell>
          <cell r="AZ303" t="str">
            <v>B</v>
          </cell>
          <cell r="BA303" t="str">
            <v>부전(주)</v>
          </cell>
          <cell r="BB303" t="str">
            <v>H50A17K</v>
          </cell>
          <cell r="BC303" t="str">
            <v>H2</v>
          </cell>
          <cell r="BD303" t="str">
            <v>K804</v>
          </cell>
          <cell r="BE303" t="str">
            <v>HR'</v>
          </cell>
          <cell r="BI303">
            <v>0</v>
          </cell>
          <cell r="BJ303">
            <v>456</v>
          </cell>
          <cell r="BK303">
            <v>0</v>
          </cell>
          <cell r="BL303">
            <v>35</v>
          </cell>
          <cell r="BM303"/>
          <cell r="BN303"/>
          <cell r="BO303"/>
          <cell r="BP303"/>
          <cell r="BQ303"/>
          <cell r="BR303"/>
          <cell r="BS303"/>
          <cell r="BT303"/>
          <cell r="BU303"/>
          <cell r="BV303"/>
          <cell r="BW303"/>
          <cell r="BX303"/>
          <cell r="BY303"/>
          <cell r="BZ303"/>
          <cell r="CA303"/>
          <cell r="CB303"/>
          <cell r="CC303"/>
          <cell r="CD303"/>
          <cell r="CE303"/>
          <cell r="CF303"/>
          <cell r="CG303"/>
          <cell r="CH303"/>
          <cell r="CI303"/>
          <cell r="CJ303"/>
          <cell r="CK303"/>
          <cell r="CL303"/>
          <cell r="CM303"/>
        </row>
        <row r="304">
          <cell r="C304">
            <v>2453</v>
          </cell>
          <cell r="D304" t="str">
            <v>MB275044B</v>
          </cell>
          <cell r="E304" t="str">
            <v xml:space="preserve"> BRKT,AIR CLEANER</v>
          </cell>
          <cell r="H304">
            <v>1</v>
          </cell>
          <cell r="I304">
            <v>1</v>
          </cell>
          <cell r="J304">
            <v>1</v>
          </cell>
          <cell r="K304">
            <v>1</v>
          </cell>
          <cell r="L304">
            <v>1</v>
          </cell>
          <cell r="M304">
            <v>1</v>
          </cell>
          <cell r="N304">
            <v>1</v>
          </cell>
          <cell r="O304">
            <v>1</v>
          </cell>
          <cell r="P304">
            <v>1</v>
          </cell>
          <cell r="Q304">
            <v>1</v>
          </cell>
          <cell r="R304">
            <v>1</v>
          </cell>
          <cell r="S304">
            <v>1</v>
          </cell>
          <cell r="T304">
            <v>1</v>
          </cell>
          <cell r="U304">
            <v>1</v>
          </cell>
          <cell r="V304">
            <v>1</v>
          </cell>
          <cell r="Y304">
            <v>1</v>
          </cell>
          <cell r="Z304">
            <v>1</v>
          </cell>
          <cell r="AA304">
            <v>1</v>
          </cell>
          <cell r="AB304">
            <v>1</v>
          </cell>
          <cell r="AC304">
            <v>1</v>
          </cell>
          <cell r="AD304">
            <v>1</v>
          </cell>
          <cell r="AF304">
            <v>1</v>
          </cell>
          <cell r="AG304">
            <v>1</v>
          </cell>
          <cell r="AH304"/>
          <cell r="AI304"/>
          <cell r="AJ304">
            <v>1</v>
          </cell>
          <cell r="AK304"/>
          <cell r="AL304">
            <v>1</v>
          </cell>
          <cell r="AM304">
            <v>1</v>
          </cell>
          <cell r="AN304"/>
          <cell r="AO304">
            <v>1</v>
          </cell>
          <cell r="AP304"/>
          <cell r="AQ304">
            <v>1</v>
          </cell>
          <cell r="AR304"/>
          <cell r="AS304">
            <v>1</v>
          </cell>
          <cell r="AT304"/>
          <cell r="AU304">
            <v>1</v>
          </cell>
          <cell r="AV304">
            <v>1</v>
          </cell>
          <cell r="AW304"/>
          <cell r="AX304"/>
          <cell r="AY304"/>
          <cell r="AZ304" t="str">
            <v>B</v>
          </cell>
          <cell r="BA304" t="str">
            <v>부전(주)</v>
          </cell>
          <cell r="BB304" t="str">
            <v>H50A14K</v>
          </cell>
          <cell r="BC304"/>
          <cell r="BD304" t="str">
            <v>K804</v>
          </cell>
          <cell r="BE304"/>
          <cell r="BF304"/>
          <cell r="BG304"/>
          <cell r="BH304"/>
          <cell r="BI304">
            <v>937</v>
          </cell>
          <cell r="BJ304">
            <v>995</v>
          </cell>
          <cell r="BK304">
            <v>57</v>
          </cell>
          <cell r="BL304">
            <v>56</v>
          </cell>
          <cell r="BM304"/>
          <cell r="BN304"/>
          <cell r="BO304"/>
          <cell r="BP304"/>
          <cell r="BQ304"/>
          <cell r="BR304"/>
          <cell r="BS304"/>
          <cell r="BT304"/>
          <cell r="BU304"/>
          <cell r="BV304"/>
          <cell r="BW304"/>
          <cell r="BX304"/>
          <cell r="BY304"/>
          <cell r="BZ304"/>
          <cell r="CA304"/>
          <cell r="CB304"/>
          <cell r="CC304"/>
          <cell r="CD304"/>
          <cell r="CE304"/>
          <cell r="CF304"/>
          <cell r="CG304"/>
          <cell r="CH304"/>
          <cell r="CI304"/>
          <cell r="CJ304"/>
          <cell r="CK304"/>
          <cell r="CL304"/>
          <cell r="CM304"/>
          <cell r="CN304"/>
          <cell r="CO304"/>
          <cell r="CP304"/>
        </row>
        <row r="305">
          <cell r="C305">
            <v>907</v>
          </cell>
          <cell r="D305" t="str">
            <v>MB275048B</v>
          </cell>
          <cell r="E305" t="str">
            <v xml:space="preserve"> BRKT,BRAKE HOSE</v>
          </cell>
          <cell r="F305" t="str">
            <v>GSL,TCI</v>
          </cell>
          <cell r="N305">
            <v>1</v>
          </cell>
          <cell r="O305">
            <v>1</v>
          </cell>
          <cell r="P305">
            <v>1</v>
          </cell>
          <cell r="Q305">
            <v>1</v>
          </cell>
          <cell r="W305">
            <v>1</v>
          </cell>
          <cell r="X305">
            <v>1</v>
          </cell>
          <cell r="Z305">
            <v>1</v>
          </cell>
          <cell r="AD305">
            <v>1</v>
          </cell>
          <cell r="AE305">
            <v>1</v>
          </cell>
          <cell r="AH305">
            <v>1</v>
          </cell>
          <cell r="AI305">
            <v>1</v>
          </cell>
          <cell r="AN305">
            <v>1</v>
          </cell>
          <cell r="AO305">
            <v>1</v>
          </cell>
          <cell r="AP305">
            <v>1</v>
          </cell>
          <cell r="AR305">
            <v>1</v>
          </cell>
          <cell r="AS305">
            <v>1</v>
          </cell>
          <cell r="AT305">
            <v>1</v>
          </cell>
          <cell r="AW305">
            <v>1</v>
          </cell>
          <cell r="AY305">
            <v>1</v>
          </cell>
          <cell r="AZ305" t="str">
            <v>B</v>
          </cell>
          <cell r="BA305" t="str">
            <v>부전(주)</v>
          </cell>
          <cell r="BB305" t="str">
            <v>H50A14K</v>
          </cell>
          <cell r="BD305" t="str">
            <v>K804</v>
          </cell>
          <cell r="BE305" t="str">
            <v>V6,TCI</v>
          </cell>
          <cell r="BI305">
            <v>422</v>
          </cell>
          <cell r="BJ305">
            <v>2</v>
          </cell>
          <cell r="BK305">
            <v>68</v>
          </cell>
          <cell r="BL305">
            <v>75</v>
          </cell>
          <cell r="BM305"/>
          <cell r="BN305"/>
          <cell r="BO305"/>
          <cell r="BP305"/>
          <cell r="BQ305"/>
          <cell r="BR305"/>
          <cell r="BS305"/>
          <cell r="BT305"/>
          <cell r="BU305"/>
          <cell r="BV305"/>
          <cell r="BW305"/>
          <cell r="BX305"/>
          <cell r="BY305"/>
          <cell r="BZ305"/>
          <cell r="CA305"/>
          <cell r="CB305"/>
          <cell r="CC305"/>
          <cell r="CD305"/>
          <cell r="CE305"/>
          <cell r="CF305"/>
          <cell r="CG305"/>
          <cell r="CH305"/>
          <cell r="CI305"/>
          <cell r="CJ305"/>
          <cell r="CK305"/>
          <cell r="CL305"/>
          <cell r="CM305"/>
          <cell r="CN305"/>
          <cell r="CO305"/>
          <cell r="CP305"/>
          <cell r="CQ305"/>
        </row>
        <row r="306">
          <cell r="C306">
            <v>1892</v>
          </cell>
          <cell r="D306" t="str">
            <v>MB275095A</v>
          </cell>
          <cell r="E306" t="str">
            <v xml:space="preserve"> REINF,2ND SEAT BELT,LWR</v>
          </cell>
          <cell r="I306">
            <v>1</v>
          </cell>
          <cell r="J306">
            <v>1</v>
          </cell>
          <cell r="K306">
            <v>1</v>
          </cell>
          <cell r="O306">
            <v>1</v>
          </cell>
          <cell r="Q306">
            <v>1</v>
          </cell>
          <cell r="S306">
            <v>1</v>
          </cell>
          <cell r="T306">
            <v>1</v>
          </cell>
          <cell r="V306">
            <v>1</v>
          </cell>
          <cell r="X306">
            <v>1</v>
          </cell>
          <cell r="Y306">
            <v>1</v>
          </cell>
          <cell r="Z306">
            <v>1</v>
          </cell>
          <cell r="AA306">
            <v>1</v>
          </cell>
          <cell r="AE306">
            <v>1</v>
          </cell>
          <cell r="AG306">
            <v>1</v>
          </cell>
          <cell r="AI306">
            <v>1</v>
          </cell>
          <cell r="AJ306">
            <v>1</v>
          </cell>
          <cell r="AK306">
            <v>1</v>
          </cell>
          <cell r="AQ306">
            <v>1</v>
          </cell>
          <cell r="AR306">
            <v>1</v>
          </cell>
          <cell r="AS306">
            <v>1</v>
          </cell>
          <cell r="AT306">
            <v>1</v>
          </cell>
          <cell r="AU306">
            <v>1</v>
          </cell>
          <cell r="AV306">
            <v>1</v>
          </cell>
          <cell r="AX306">
            <v>1</v>
          </cell>
          <cell r="AY306">
            <v>1</v>
          </cell>
          <cell r="AZ306" t="str">
            <v>B</v>
          </cell>
          <cell r="BA306" t="str">
            <v>부전(주)</v>
          </cell>
          <cell r="BB306" t="str">
            <v>H50A17K</v>
          </cell>
          <cell r="BD306" t="str">
            <v>K804</v>
          </cell>
          <cell r="BI306">
            <v>888</v>
          </cell>
          <cell r="BJ306">
            <v>458</v>
          </cell>
          <cell r="BK306">
            <v>90</v>
          </cell>
          <cell r="BL306">
            <v>100</v>
          </cell>
          <cell r="BM306"/>
          <cell r="BN306"/>
          <cell r="BO306"/>
          <cell r="BP306"/>
          <cell r="BQ306"/>
          <cell r="BR306"/>
          <cell r="BS306"/>
          <cell r="BT306"/>
          <cell r="BU306"/>
          <cell r="BV306"/>
          <cell r="BW306"/>
          <cell r="BX306"/>
          <cell r="BY306"/>
          <cell r="BZ306"/>
          <cell r="CA306"/>
          <cell r="CB306"/>
          <cell r="CC306"/>
          <cell r="CD306"/>
          <cell r="CE306"/>
          <cell r="CF306"/>
          <cell r="CG306"/>
          <cell r="CH306"/>
          <cell r="CI306"/>
          <cell r="CJ306"/>
          <cell r="CK306"/>
          <cell r="CL306"/>
          <cell r="CM306"/>
          <cell r="CN306"/>
          <cell r="CO306"/>
          <cell r="CP306"/>
          <cell r="CQ306"/>
        </row>
        <row r="307">
          <cell r="C307">
            <v>1892</v>
          </cell>
          <cell r="D307" t="str">
            <v>MB275095A</v>
          </cell>
          <cell r="E307" t="str">
            <v xml:space="preserve"> REINF,2ND SEAT BELT,LWR</v>
          </cell>
          <cell r="I307">
            <v>1</v>
          </cell>
          <cell r="J307">
            <v>1</v>
          </cell>
          <cell r="K307">
            <v>1</v>
          </cell>
          <cell r="O307">
            <v>1</v>
          </cell>
          <cell r="Q307">
            <v>1</v>
          </cell>
          <cell r="S307">
            <v>1</v>
          </cell>
          <cell r="T307">
            <v>1</v>
          </cell>
          <cell r="V307">
            <v>1</v>
          </cell>
          <cell r="X307">
            <v>1</v>
          </cell>
          <cell r="Y307">
            <v>1</v>
          </cell>
          <cell r="Z307">
            <v>1</v>
          </cell>
          <cell r="AA307">
            <v>1</v>
          </cell>
          <cell r="AE307">
            <v>1</v>
          </cell>
          <cell r="AG307">
            <v>1</v>
          </cell>
          <cell r="AI307">
            <v>1</v>
          </cell>
          <cell r="AJ307">
            <v>1</v>
          </cell>
          <cell r="AK307">
            <v>1</v>
          </cell>
          <cell r="AQ307">
            <v>1</v>
          </cell>
          <cell r="AR307">
            <v>1</v>
          </cell>
          <cell r="AS307">
            <v>1</v>
          </cell>
          <cell r="AT307">
            <v>1</v>
          </cell>
          <cell r="AU307">
            <v>1</v>
          </cell>
          <cell r="AV307">
            <v>1</v>
          </cell>
          <cell r="AX307">
            <v>1</v>
          </cell>
          <cell r="AY307">
            <v>1</v>
          </cell>
          <cell r="AZ307" t="str">
            <v>B</v>
          </cell>
          <cell r="BA307" t="str">
            <v>부전(주)</v>
          </cell>
          <cell r="BB307" t="str">
            <v>H50A17K</v>
          </cell>
          <cell r="BD307" t="str">
            <v>K804</v>
          </cell>
          <cell r="BI307">
            <v>888</v>
          </cell>
          <cell r="BJ307">
            <v>458</v>
          </cell>
          <cell r="BK307">
            <v>90</v>
          </cell>
          <cell r="BL307">
            <v>100</v>
          </cell>
          <cell r="BM307"/>
          <cell r="BN307"/>
          <cell r="BO307"/>
          <cell r="BP307"/>
          <cell r="BQ307"/>
          <cell r="BR307"/>
          <cell r="BS307"/>
          <cell r="BT307"/>
          <cell r="BU307"/>
          <cell r="BV307"/>
          <cell r="BW307"/>
          <cell r="BX307"/>
          <cell r="BY307"/>
          <cell r="BZ307"/>
          <cell r="CA307"/>
          <cell r="CB307"/>
          <cell r="CC307"/>
          <cell r="CD307"/>
          <cell r="CE307"/>
          <cell r="CF307"/>
          <cell r="CG307"/>
          <cell r="CH307"/>
          <cell r="CI307"/>
          <cell r="CJ307"/>
          <cell r="CK307"/>
          <cell r="CL307"/>
          <cell r="CM307"/>
          <cell r="CN307"/>
          <cell r="CO307"/>
          <cell r="CP307"/>
          <cell r="CQ307"/>
        </row>
        <row r="308">
          <cell r="C308">
            <v>2056</v>
          </cell>
          <cell r="D308" t="str">
            <v>MB275104</v>
          </cell>
          <cell r="E308" t="str">
            <v xml:space="preserve"> REINF 3RD SEAT RR</v>
          </cell>
          <cell r="S308">
            <v>4</v>
          </cell>
          <cell r="T308">
            <v>4</v>
          </cell>
          <cell r="Y308">
            <v>4</v>
          </cell>
          <cell r="Z308">
            <v>4</v>
          </cell>
          <cell r="AA308">
            <v>4</v>
          </cell>
          <cell r="AU308">
            <v>4</v>
          </cell>
          <cell r="AV308">
            <v>4</v>
          </cell>
          <cell r="AX308">
            <v>4</v>
          </cell>
          <cell r="AY308">
            <v>4</v>
          </cell>
          <cell r="AZ308" t="str">
            <v>B</v>
          </cell>
          <cell r="BA308" t="str">
            <v>부전(주)</v>
          </cell>
          <cell r="BB308" t="str">
            <v>H50A17K</v>
          </cell>
          <cell r="BC308" t="str">
            <v>H</v>
          </cell>
          <cell r="BD308" t="str">
            <v>K804</v>
          </cell>
          <cell r="BE308" t="str">
            <v>HR'</v>
          </cell>
          <cell r="BI308">
            <v>0</v>
          </cell>
          <cell r="BJ308">
            <v>1824</v>
          </cell>
          <cell r="BK308">
            <v>0</v>
          </cell>
          <cell r="BL308">
            <v>140</v>
          </cell>
          <cell r="BM308"/>
          <cell r="BN308"/>
          <cell r="BO308"/>
          <cell r="BP308"/>
          <cell r="BQ308"/>
          <cell r="BR308"/>
          <cell r="BS308"/>
          <cell r="BT308"/>
          <cell r="BU308"/>
          <cell r="BV308"/>
          <cell r="BW308"/>
          <cell r="BX308"/>
          <cell r="BY308"/>
          <cell r="BZ308"/>
          <cell r="CA308"/>
          <cell r="CB308"/>
          <cell r="CC308"/>
          <cell r="CD308"/>
          <cell r="CE308"/>
          <cell r="CF308"/>
          <cell r="CG308"/>
          <cell r="CH308"/>
          <cell r="CI308"/>
          <cell r="CJ308"/>
          <cell r="CK308"/>
          <cell r="CL308"/>
          <cell r="CM308"/>
        </row>
        <row r="309">
          <cell r="C309">
            <v>1892</v>
          </cell>
          <cell r="D309" t="str">
            <v>MB275123A</v>
          </cell>
          <cell r="E309" t="str">
            <v xml:space="preserve"> COVER,RR END,CORNER LH</v>
          </cell>
          <cell r="I309">
            <v>1</v>
          </cell>
          <cell r="J309">
            <v>1</v>
          </cell>
          <cell r="K309">
            <v>1</v>
          </cell>
          <cell r="O309">
            <v>1</v>
          </cell>
          <cell r="Q309">
            <v>1</v>
          </cell>
          <cell r="S309">
            <v>1</v>
          </cell>
          <cell r="T309">
            <v>1</v>
          </cell>
          <cell r="V309">
            <v>1</v>
          </cell>
          <cell r="X309">
            <v>1</v>
          </cell>
          <cell r="Y309">
            <v>1</v>
          </cell>
          <cell r="Z309">
            <v>1</v>
          </cell>
          <cell r="AA309">
            <v>1</v>
          </cell>
          <cell r="AE309">
            <v>1</v>
          </cell>
          <cell r="AG309">
            <v>1</v>
          </cell>
          <cell r="AI309">
            <v>1</v>
          </cell>
          <cell r="AJ309">
            <v>1</v>
          </cell>
          <cell r="AK309">
            <v>1</v>
          </cell>
          <cell r="AQ309">
            <v>1</v>
          </cell>
          <cell r="AR309">
            <v>1</v>
          </cell>
          <cell r="AS309">
            <v>1</v>
          </cell>
          <cell r="AT309">
            <v>1</v>
          </cell>
          <cell r="AU309">
            <v>1</v>
          </cell>
          <cell r="AV309">
            <v>1</v>
          </cell>
          <cell r="AX309">
            <v>1</v>
          </cell>
          <cell r="AY309">
            <v>1</v>
          </cell>
          <cell r="AZ309" t="str">
            <v>B</v>
          </cell>
          <cell r="BA309" t="str">
            <v>부전(주)</v>
          </cell>
          <cell r="BB309" t="str">
            <v>H50A17K</v>
          </cell>
          <cell r="BD309" t="str">
            <v>K804</v>
          </cell>
          <cell r="BI309">
            <v>888</v>
          </cell>
          <cell r="BJ309">
            <v>458</v>
          </cell>
          <cell r="BK309">
            <v>90</v>
          </cell>
          <cell r="BL309">
            <v>100</v>
          </cell>
          <cell r="BM309"/>
          <cell r="BN309"/>
          <cell r="BO309"/>
          <cell r="BP309"/>
          <cell r="BQ309"/>
          <cell r="BR309"/>
          <cell r="BS309"/>
          <cell r="BT309"/>
          <cell r="BU309"/>
          <cell r="BV309"/>
          <cell r="BW309"/>
          <cell r="BX309"/>
          <cell r="BY309"/>
          <cell r="BZ309"/>
          <cell r="CA309"/>
          <cell r="CB309"/>
          <cell r="CC309"/>
          <cell r="CD309"/>
          <cell r="CE309"/>
          <cell r="CF309"/>
          <cell r="CG309"/>
          <cell r="CH309"/>
          <cell r="CI309"/>
          <cell r="CJ309"/>
          <cell r="CK309"/>
          <cell r="CL309"/>
          <cell r="CM309"/>
          <cell r="CN309"/>
          <cell r="CO309"/>
          <cell r="CP309"/>
          <cell r="CQ309"/>
        </row>
        <row r="310">
          <cell r="C310">
            <v>1892</v>
          </cell>
          <cell r="D310" t="str">
            <v>MB275124A</v>
          </cell>
          <cell r="E310" t="str">
            <v xml:space="preserve"> COVER,RR END,CORNER RH</v>
          </cell>
          <cell r="I310">
            <v>1</v>
          </cell>
          <cell r="J310">
            <v>1</v>
          </cell>
          <cell r="K310">
            <v>1</v>
          </cell>
          <cell r="O310">
            <v>1</v>
          </cell>
          <cell r="Q310">
            <v>1</v>
          </cell>
          <cell r="S310">
            <v>1</v>
          </cell>
          <cell r="T310">
            <v>1</v>
          </cell>
          <cell r="V310">
            <v>1</v>
          </cell>
          <cell r="X310">
            <v>1</v>
          </cell>
          <cell r="Y310">
            <v>1</v>
          </cell>
          <cell r="Z310">
            <v>1</v>
          </cell>
          <cell r="AA310">
            <v>1</v>
          </cell>
          <cell r="AE310">
            <v>1</v>
          </cell>
          <cell r="AG310">
            <v>1</v>
          </cell>
          <cell r="AI310">
            <v>1</v>
          </cell>
          <cell r="AJ310">
            <v>1</v>
          </cell>
          <cell r="AK310">
            <v>1</v>
          </cell>
          <cell r="AQ310">
            <v>1</v>
          </cell>
          <cell r="AR310">
            <v>1</v>
          </cell>
          <cell r="AS310">
            <v>1</v>
          </cell>
          <cell r="AT310">
            <v>1</v>
          </cell>
          <cell r="AU310">
            <v>1</v>
          </cell>
          <cell r="AV310">
            <v>1</v>
          </cell>
          <cell r="AX310">
            <v>1</v>
          </cell>
          <cell r="AY310">
            <v>1</v>
          </cell>
          <cell r="AZ310" t="str">
            <v>B</v>
          </cell>
          <cell r="BA310" t="str">
            <v>부전(주)</v>
          </cell>
          <cell r="BB310" t="str">
            <v>H50A17K</v>
          </cell>
          <cell r="BD310" t="str">
            <v>K804</v>
          </cell>
          <cell r="BI310">
            <v>888</v>
          </cell>
          <cell r="BJ310">
            <v>458</v>
          </cell>
          <cell r="BK310">
            <v>90</v>
          </cell>
          <cell r="BL310">
            <v>100</v>
          </cell>
          <cell r="BM310"/>
          <cell r="BN310"/>
          <cell r="BO310"/>
          <cell r="BP310"/>
          <cell r="BQ310"/>
          <cell r="BR310"/>
          <cell r="BS310"/>
          <cell r="BT310"/>
          <cell r="BU310"/>
          <cell r="BV310"/>
          <cell r="BW310"/>
          <cell r="BX310"/>
          <cell r="BY310"/>
          <cell r="BZ310"/>
          <cell r="CA310"/>
          <cell r="CB310"/>
          <cell r="CC310"/>
          <cell r="CD310"/>
          <cell r="CE310"/>
          <cell r="CF310"/>
          <cell r="CG310"/>
          <cell r="CH310"/>
          <cell r="CI310"/>
          <cell r="CJ310"/>
          <cell r="CK310"/>
          <cell r="CL310"/>
          <cell r="CM310"/>
          <cell r="CN310"/>
          <cell r="CO310"/>
          <cell r="CP310"/>
          <cell r="CQ310"/>
        </row>
        <row r="311">
          <cell r="C311">
            <v>1892</v>
          </cell>
          <cell r="D311" t="str">
            <v>MB275149A</v>
          </cell>
          <cell r="E311" t="str">
            <v xml:space="preserve"> REINF,QTR PANEL INR LH</v>
          </cell>
          <cell r="I311">
            <v>1</v>
          </cell>
          <cell r="J311">
            <v>1</v>
          </cell>
          <cell r="K311">
            <v>1</v>
          </cell>
          <cell r="O311">
            <v>1</v>
          </cell>
          <cell r="Q311">
            <v>1</v>
          </cell>
          <cell r="S311">
            <v>1</v>
          </cell>
          <cell r="T311">
            <v>1</v>
          </cell>
          <cell r="V311">
            <v>1</v>
          </cell>
          <cell r="X311">
            <v>1</v>
          </cell>
          <cell r="Y311">
            <v>1</v>
          </cell>
          <cell r="Z311">
            <v>1</v>
          </cell>
          <cell r="AA311">
            <v>1</v>
          </cell>
          <cell r="AE311">
            <v>1</v>
          </cell>
          <cell r="AG311">
            <v>1</v>
          </cell>
          <cell r="AI311">
            <v>1</v>
          </cell>
          <cell r="AJ311">
            <v>1</v>
          </cell>
          <cell r="AK311">
            <v>1</v>
          </cell>
          <cell r="AQ311">
            <v>1</v>
          </cell>
          <cell r="AR311">
            <v>1</v>
          </cell>
          <cell r="AS311">
            <v>1</v>
          </cell>
          <cell r="AT311">
            <v>1</v>
          </cell>
          <cell r="AU311">
            <v>1</v>
          </cell>
          <cell r="AV311">
            <v>1</v>
          </cell>
          <cell r="AX311">
            <v>1</v>
          </cell>
          <cell r="AY311">
            <v>1</v>
          </cell>
          <cell r="AZ311" t="str">
            <v>B</v>
          </cell>
          <cell r="BA311" t="str">
            <v>부전(주)</v>
          </cell>
          <cell r="BB311" t="str">
            <v>H50A17K</v>
          </cell>
          <cell r="BD311" t="str">
            <v>K804</v>
          </cell>
          <cell r="BI311">
            <v>888</v>
          </cell>
          <cell r="BJ311">
            <v>458</v>
          </cell>
          <cell r="BK311">
            <v>90</v>
          </cell>
          <cell r="BL311">
            <v>100</v>
          </cell>
          <cell r="BM311"/>
          <cell r="BN311"/>
          <cell r="BO311"/>
          <cell r="BP311"/>
          <cell r="BQ311"/>
          <cell r="BR311"/>
          <cell r="BS311"/>
          <cell r="BT311"/>
          <cell r="BU311"/>
          <cell r="BV311"/>
          <cell r="BW311"/>
          <cell r="BX311"/>
          <cell r="BY311"/>
          <cell r="BZ311"/>
          <cell r="CA311"/>
          <cell r="CB311"/>
          <cell r="CC311"/>
          <cell r="CD311"/>
          <cell r="CE311"/>
          <cell r="CF311"/>
          <cell r="CG311"/>
          <cell r="CH311"/>
          <cell r="CI311"/>
          <cell r="CJ311"/>
          <cell r="CK311"/>
          <cell r="CL311"/>
          <cell r="CM311"/>
          <cell r="CN311"/>
          <cell r="CO311"/>
          <cell r="CP311"/>
          <cell r="CQ311"/>
        </row>
        <row r="312">
          <cell r="C312">
            <v>1892</v>
          </cell>
          <cell r="D312" t="str">
            <v>MB275150A</v>
          </cell>
          <cell r="E312" t="str">
            <v xml:space="preserve"> REINF,QTR PANEL INR RH</v>
          </cell>
          <cell r="I312">
            <v>1</v>
          </cell>
          <cell r="J312">
            <v>1</v>
          </cell>
          <cell r="K312">
            <v>1</v>
          </cell>
          <cell r="O312">
            <v>1</v>
          </cell>
          <cell r="Q312">
            <v>1</v>
          </cell>
          <cell r="S312">
            <v>1</v>
          </cell>
          <cell r="T312">
            <v>1</v>
          </cell>
          <cell r="V312">
            <v>1</v>
          </cell>
          <cell r="X312">
            <v>1</v>
          </cell>
          <cell r="Y312">
            <v>1</v>
          </cell>
          <cell r="Z312">
            <v>1</v>
          </cell>
          <cell r="AA312">
            <v>1</v>
          </cell>
          <cell r="AE312">
            <v>1</v>
          </cell>
          <cell r="AG312">
            <v>1</v>
          </cell>
          <cell r="AI312">
            <v>1</v>
          </cell>
          <cell r="AJ312">
            <v>1</v>
          </cell>
          <cell r="AK312">
            <v>1</v>
          </cell>
          <cell r="AQ312">
            <v>1</v>
          </cell>
          <cell r="AR312">
            <v>1</v>
          </cell>
          <cell r="AS312">
            <v>1</v>
          </cell>
          <cell r="AT312">
            <v>1</v>
          </cell>
          <cell r="AU312">
            <v>1</v>
          </cell>
          <cell r="AV312">
            <v>1</v>
          </cell>
          <cell r="AX312">
            <v>1</v>
          </cell>
          <cell r="AY312">
            <v>1</v>
          </cell>
          <cell r="AZ312" t="str">
            <v>B</v>
          </cell>
          <cell r="BA312" t="str">
            <v>부전(주)</v>
          </cell>
          <cell r="BB312" t="str">
            <v>H50A17K</v>
          </cell>
          <cell r="BD312" t="str">
            <v>K804</v>
          </cell>
          <cell r="BI312">
            <v>888</v>
          </cell>
          <cell r="BJ312">
            <v>458</v>
          </cell>
          <cell r="BK312">
            <v>90</v>
          </cell>
          <cell r="BL312">
            <v>100</v>
          </cell>
          <cell r="BM312"/>
          <cell r="BN312"/>
          <cell r="BO312"/>
          <cell r="BP312"/>
          <cell r="BQ312"/>
          <cell r="BR312"/>
          <cell r="BS312"/>
          <cell r="BT312"/>
          <cell r="BU312"/>
          <cell r="BV312"/>
          <cell r="BW312"/>
          <cell r="BX312"/>
          <cell r="BY312"/>
          <cell r="BZ312"/>
          <cell r="CA312"/>
          <cell r="CB312"/>
          <cell r="CC312"/>
          <cell r="CD312"/>
          <cell r="CE312"/>
          <cell r="CF312"/>
          <cell r="CG312"/>
          <cell r="CH312"/>
          <cell r="CI312"/>
          <cell r="CJ312"/>
          <cell r="CK312"/>
          <cell r="CL312"/>
          <cell r="CM312"/>
          <cell r="CN312"/>
          <cell r="CO312"/>
          <cell r="CP312"/>
          <cell r="CQ312"/>
        </row>
        <row r="313">
          <cell r="C313">
            <v>1390</v>
          </cell>
          <cell r="D313" t="str">
            <v>MB275173A</v>
          </cell>
          <cell r="E313" t="str">
            <v xml:space="preserve"> REINF, 3RD SEAT BELT(CTR)</v>
          </cell>
          <cell r="J313">
            <v>1</v>
          </cell>
          <cell r="K313">
            <v>1</v>
          </cell>
          <cell r="O313">
            <v>1</v>
          </cell>
          <cell r="Q313">
            <v>1</v>
          </cell>
          <cell r="X313">
            <v>1</v>
          </cell>
          <cell r="AE313">
            <v>1</v>
          </cell>
          <cell r="AI313">
            <v>1</v>
          </cell>
          <cell r="AJ313">
            <v>1</v>
          </cell>
          <cell r="AK313">
            <v>1</v>
          </cell>
          <cell r="AQ313">
            <v>1</v>
          </cell>
          <cell r="AR313">
            <v>1</v>
          </cell>
          <cell r="AS313">
            <v>1</v>
          </cell>
          <cell r="AT313">
            <v>1</v>
          </cell>
          <cell r="AX313">
            <v>1</v>
          </cell>
          <cell r="AY313">
            <v>1</v>
          </cell>
          <cell r="AZ313" t="str">
            <v>B</v>
          </cell>
          <cell r="BA313" t="str">
            <v>부전(주)</v>
          </cell>
          <cell r="BB313" t="str">
            <v>H50A12K</v>
          </cell>
          <cell r="BD313" t="str">
            <v>K804</v>
          </cell>
          <cell r="BI313">
            <v>868</v>
          </cell>
          <cell r="BJ313">
            <v>2</v>
          </cell>
          <cell r="BK313">
            <v>90</v>
          </cell>
          <cell r="BL313">
            <v>97</v>
          </cell>
          <cell r="BM313"/>
          <cell r="BN313"/>
          <cell r="BO313"/>
          <cell r="BP313"/>
          <cell r="BQ313"/>
          <cell r="BR313"/>
          <cell r="BS313"/>
          <cell r="BT313"/>
          <cell r="BU313"/>
          <cell r="BV313"/>
          <cell r="BW313"/>
          <cell r="BX313"/>
          <cell r="BY313"/>
          <cell r="BZ313"/>
          <cell r="CA313"/>
          <cell r="CB313"/>
          <cell r="CC313"/>
          <cell r="CD313"/>
          <cell r="CE313"/>
          <cell r="CF313"/>
          <cell r="CG313"/>
          <cell r="CH313"/>
          <cell r="CI313"/>
          <cell r="CJ313"/>
          <cell r="CK313"/>
          <cell r="CL313"/>
          <cell r="CM313"/>
          <cell r="CN313"/>
          <cell r="CO313"/>
          <cell r="CP313"/>
          <cell r="CQ313"/>
        </row>
        <row r="314">
          <cell r="C314">
            <v>5168</v>
          </cell>
          <cell r="D314" t="str">
            <v>MB275201</v>
          </cell>
          <cell r="E314" t="str">
            <v xml:space="preserve"> REINF,P/WDO HOLE</v>
          </cell>
          <cell r="G314">
            <v>2</v>
          </cell>
          <cell r="AZ314" t="str">
            <v>B</v>
          </cell>
          <cell r="BA314" t="str">
            <v>부전(주)</v>
          </cell>
          <cell r="BB314" t="str">
            <v>H50A16K</v>
          </cell>
          <cell r="BD314" t="str">
            <v>K804</v>
          </cell>
          <cell r="BE314" t="str">
            <v>ALL</v>
          </cell>
          <cell r="BI314">
            <v>0</v>
          </cell>
          <cell r="BJ314">
            <v>0</v>
          </cell>
          <cell r="BK314">
            <v>0</v>
          </cell>
          <cell r="BL314">
            <v>0</v>
          </cell>
          <cell r="BM314"/>
          <cell r="BN314"/>
          <cell r="BO314"/>
          <cell r="BP314"/>
          <cell r="BQ314"/>
          <cell r="BR314"/>
          <cell r="BS314"/>
          <cell r="BT314"/>
          <cell r="BU314"/>
          <cell r="BV314"/>
          <cell r="BW314"/>
          <cell r="BX314"/>
          <cell r="BY314"/>
          <cell r="BZ314"/>
          <cell r="CA314"/>
          <cell r="CB314"/>
          <cell r="CC314"/>
          <cell r="CD314"/>
          <cell r="CE314"/>
          <cell r="CF314"/>
          <cell r="CG314"/>
          <cell r="CH314"/>
          <cell r="CI314"/>
          <cell r="CJ314"/>
          <cell r="CK314"/>
        </row>
        <row r="315">
          <cell r="C315">
            <v>1892</v>
          </cell>
          <cell r="D315" t="str">
            <v>MB275203</v>
          </cell>
          <cell r="E315" t="str">
            <v xml:space="preserve"> REINF,2ND SEAT BELT,LWR</v>
          </cell>
          <cell r="I315">
            <v>1</v>
          </cell>
          <cell r="J315">
            <v>1</v>
          </cell>
          <cell r="K315">
            <v>1</v>
          </cell>
          <cell r="O315">
            <v>1</v>
          </cell>
          <cell r="Q315">
            <v>1</v>
          </cell>
          <cell r="S315">
            <v>1</v>
          </cell>
          <cell r="T315">
            <v>1</v>
          </cell>
          <cell r="V315">
            <v>1</v>
          </cell>
          <cell r="X315">
            <v>1</v>
          </cell>
          <cell r="Y315">
            <v>1</v>
          </cell>
          <cell r="Z315">
            <v>1</v>
          </cell>
          <cell r="AA315">
            <v>1</v>
          </cell>
          <cell r="AE315">
            <v>1</v>
          </cell>
          <cell r="AG315">
            <v>1</v>
          </cell>
          <cell r="AI315">
            <v>1</v>
          </cell>
          <cell r="AJ315">
            <v>1</v>
          </cell>
          <cell r="AK315">
            <v>1</v>
          </cell>
          <cell r="AQ315">
            <v>1</v>
          </cell>
          <cell r="AR315">
            <v>1</v>
          </cell>
          <cell r="AS315">
            <v>1</v>
          </cell>
          <cell r="AT315">
            <v>1</v>
          </cell>
          <cell r="AU315">
            <v>1</v>
          </cell>
          <cell r="AV315">
            <v>1</v>
          </cell>
          <cell r="AX315">
            <v>1</v>
          </cell>
          <cell r="AY315">
            <v>1</v>
          </cell>
          <cell r="AZ315" t="str">
            <v>B</v>
          </cell>
          <cell r="BA315" t="str">
            <v>부전(주)</v>
          </cell>
          <cell r="BB315" t="str">
            <v>H50A17K</v>
          </cell>
          <cell r="BD315" t="str">
            <v>K804</v>
          </cell>
          <cell r="BI315">
            <v>888</v>
          </cell>
          <cell r="BJ315">
            <v>458</v>
          </cell>
          <cell r="BK315">
            <v>90</v>
          </cell>
          <cell r="BL315">
            <v>100</v>
          </cell>
          <cell r="BM315"/>
          <cell r="BN315"/>
          <cell r="BO315"/>
          <cell r="BP315"/>
          <cell r="BQ315"/>
          <cell r="BR315"/>
          <cell r="BS315"/>
          <cell r="BT315"/>
          <cell r="BU315"/>
          <cell r="BV315"/>
          <cell r="BW315"/>
          <cell r="BX315"/>
          <cell r="BY315"/>
          <cell r="BZ315"/>
          <cell r="CA315"/>
          <cell r="CB315"/>
          <cell r="CC315"/>
          <cell r="CD315"/>
          <cell r="CE315"/>
          <cell r="CF315"/>
          <cell r="CG315"/>
          <cell r="CH315"/>
          <cell r="CI315"/>
          <cell r="CJ315"/>
          <cell r="CK315"/>
          <cell r="CL315"/>
          <cell r="CM315"/>
          <cell r="CN315"/>
          <cell r="CO315"/>
          <cell r="CP315"/>
          <cell r="CQ315"/>
        </row>
        <row r="316">
          <cell r="C316">
            <v>1892</v>
          </cell>
          <cell r="D316" t="str">
            <v>MB275203</v>
          </cell>
          <cell r="E316" t="str">
            <v xml:space="preserve"> REINF,2ND SEAT BELT,LWR</v>
          </cell>
          <cell r="I316">
            <v>1</v>
          </cell>
          <cell r="J316">
            <v>1</v>
          </cell>
          <cell r="K316">
            <v>1</v>
          </cell>
          <cell r="O316">
            <v>1</v>
          </cell>
          <cell r="Q316">
            <v>1</v>
          </cell>
          <cell r="S316">
            <v>1</v>
          </cell>
          <cell r="T316">
            <v>1</v>
          </cell>
          <cell r="V316">
            <v>1</v>
          </cell>
          <cell r="X316">
            <v>1</v>
          </cell>
          <cell r="Y316">
            <v>1</v>
          </cell>
          <cell r="Z316">
            <v>1</v>
          </cell>
          <cell r="AA316">
            <v>1</v>
          </cell>
          <cell r="AE316">
            <v>1</v>
          </cell>
          <cell r="AG316">
            <v>1</v>
          </cell>
          <cell r="AI316">
            <v>1</v>
          </cell>
          <cell r="AJ316">
            <v>1</v>
          </cell>
          <cell r="AK316">
            <v>1</v>
          </cell>
          <cell r="AQ316">
            <v>1</v>
          </cell>
          <cell r="AR316">
            <v>1</v>
          </cell>
          <cell r="AS316">
            <v>1</v>
          </cell>
          <cell r="AT316">
            <v>1</v>
          </cell>
          <cell r="AU316">
            <v>1</v>
          </cell>
          <cell r="AV316">
            <v>1</v>
          </cell>
          <cell r="AX316">
            <v>1</v>
          </cell>
          <cell r="AY316">
            <v>1</v>
          </cell>
          <cell r="AZ316" t="str">
            <v>B</v>
          </cell>
          <cell r="BA316" t="str">
            <v>부전(주)</v>
          </cell>
          <cell r="BB316" t="str">
            <v>H50A17K</v>
          </cell>
          <cell r="BD316" t="str">
            <v>K804</v>
          </cell>
          <cell r="BI316">
            <v>888</v>
          </cell>
          <cell r="BJ316">
            <v>458</v>
          </cell>
          <cell r="BK316">
            <v>90</v>
          </cell>
          <cell r="BL316">
            <v>100</v>
          </cell>
          <cell r="BM316"/>
          <cell r="BN316"/>
          <cell r="BO316"/>
          <cell r="BP316"/>
          <cell r="BQ316"/>
          <cell r="BR316"/>
          <cell r="BS316"/>
          <cell r="BT316"/>
          <cell r="BU316"/>
          <cell r="BV316"/>
          <cell r="BW316"/>
          <cell r="BX316"/>
          <cell r="BY316"/>
          <cell r="BZ316"/>
          <cell r="CA316"/>
          <cell r="CB316"/>
          <cell r="CC316"/>
          <cell r="CD316"/>
          <cell r="CE316"/>
          <cell r="CF316"/>
          <cell r="CG316"/>
          <cell r="CH316"/>
          <cell r="CI316"/>
          <cell r="CJ316"/>
          <cell r="CK316"/>
          <cell r="CL316"/>
          <cell r="CM316"/>
          <cell r="CN316"/>
          <cell r="CO316"/>
          <cell r="CP316"/>
          <cell r="CQ316"/>
        </row>
        <row r="317">
          <cell r="C317">
            <v>514</v>
          </cell>
          <cell r="D317" t="str">
            <v>MB275225</v>
          </cell>
          <cell r="E317" t="str">
            <v xml:space="preserve"> BRKT-ROOF BOW LH</v>
          </cell>
          <cell r="S317">
            <v>1</v>
          </cell>
          <cell r="T317">
            <v>1</v>
          </cell>
          <cell r="Y317">
            <v>1</v>
          </cell>
          <cell r="Z317">
            <v>1</v>
          </cell>
          <cell r="AA317">
            <v>1</v>
          </cell>
          <cell r="AU317">
            <v>1</v>
          </cell>
          <cell r="AV317">
            <v>1</v>
          </cell>
          <cell r="AX317">
            <v>1</v>
          </cell>
          <cell r="AY317">
            <v>1</v>
          </cell>
          <cell r="AZ317" t="str">
            <v>B</v>
          </cell>
          <cell r="BA317" t="str">
            <v>부전(주)</v>
          </cell>
          <cell r="BB317" t="str">
            <v>H50A17K</v>
          </cell>
          <cell r="BC317" t="str">
            <v>H</v>
          </cell>
          <cell r="BD317" t="str">
            <v>K804</v>
          </cell>
          <cell r="BE317" t="str">
            <v>HR'</v>
          </cell>
          <cell r="BI317">
            <v>0</v>
          </cell>
          <cell r="BJ317">
            <v>456</v>
          </cell>
          <cell r="BK317">
            <v>0</v>
          </cell>
          <cell r="BL317">
            <v>35</v>
          </cell>
          <cell r="BM317"/>
          <cell r="BN317"/>
          <cell r="BO317"/>
          <cell r="BP317"/>
          <cell r="BQ317"/>
          <cell r="BR317"/>
          <cell r="BS317"/>
          <cell r="BT317"/>
          <cell r="BU317"/>
          <cell r="BV317"/>
          <cell r="BW317"/>
          <cell r="BX317"/>
          <cell r="BY317"/>
          <cell r="BZ317"/>
          <cell r="CA317"/>
          <cell r="CB317"/>
          <cell r="CC317"/>
          <cell r="CD317"/>
          <cell r="CE317"/>
          <cell r="CF317"/>
          <cell r="CG317"/>
          <cell r="CH317"/>
          <cell r="CI317"/>
          <cell r="CJ317"/>
          <cell r="CK317"/>
          <cell r="CL317"/>
          <cell r="CM317"/>
        </row>
        <row r="318">
          <cell r="C318">
            <v>514</v>
          </cell>
          <cell r="D318" t="str">
            <v>MB275226</v>
          </cell>
          <cell r="E318" t="str">
            <v xml:space="preserve"> BRKT-ROOF BOW RH</v>
          </cell>
          <cell r="S318">
            <v>1</v>
          </cell>
          <cell r="T318">
            <v>1</v>
          </cell>
          <cell r="Y318">
            <v>1</v>
          </cell>
          <cell r="Z318">
            <v>1</v>
          </cell>
          <cell r="AA318">
            <v>1</v>
          </cell>
          <cell r="AU318">
            <v>1</v>
          </cell>
          <cell r="AV318">
            <v>1</v>
          </cell>
          <cell r="AX318">
            <v>1</v>
          </cell>
          <cell r="AY318">
            <v>1</v>
          </cell>
          <cell r="AZ318" t="str">
            <v>B</v>
          </cell>
          <cell r="BA318" t="str">
            <v>부전(주)</v>
          </cell>
          <cell r="BB318" t="str">
            <v>H50A17K</v>
          </cell>
          <cell r="BC318" t="str">
            <v>H2</v>
          </cell>
          <cell r="BD318" t="str">
            <v>K804</v>
          </cell>
          <cell r="BE318" t="str">
            <v>HR'</v>
          </cell>
          <cell r="BI318">
            <v>0</v>
          </cell>
          <cell r="BJ318">
            <v>456</v>
          </cell>
          <cell r="BK318">
            <v>0</v>
          </cell>
          <cell r="BL318">
            <v>35</v>
          </cell>
          <cell r="BM318"/>
          <cell r="BN318"/>
          <cell r="BO318"/>
          <cell r="BP318"/>
          <cell r="BQ318"/>
          <cell r="BR318"/>
          <cell r="BS318"/>
          <cell r="BT318"/>
          <cell r="BU318"/>
          <cell r="BV318"/>
          <cell r="BW318"/>
          <cell r="BX318"/>
          <cell r="BY318"/>
          <cell r="BZ318"/>
          <cell r="CA318"/>
          <cell r="CB318"/>
          <cell r="CC318"/>
          <cell r="CD318"/>
          <cell r="CE318"/>
          <cell r="CF318"/>
          <cell r="CG318"/>
          <cell r="CH318"/>
          <cell r="CI318"/>
          <cell r="CJ318"/>
          <cell r="CK318"/>
          <cell r="CL318"/>
          <cell r="CM318"/>
        </row>
        <row r="319">
          <cell r="C319">
            <v>1378</v>
          </cell>
          <cell r="D319" t="str">
            <v>MB275281A</v>
          </cell>
          <cell r="E319" t="str">
            <v xml:space="preserve"> BRKT,3RD SEAT LH</v>
          </cell>
          <cell r="I319">
            <v>1</v>
          </cell>
          <cell r="J319">
            <v>1</v>
          </cell>
          <cell r="K319">
            <v>1</v>
          </cell>
          <cell r="O319">
            <v>1</v>
          </cell>
          <cell r="Q319">
            <v>1</v>
          </cell>
          <cell r="V319">
            <v>1</v>
          </cell>
          <cell r="X319">
            <v>1</v>
          </cell>
          <cell r="AE319">
            <v>1</v>
          </cell>
          <cell r="AG319">
            <v>1</v>
          </cell>
          <cell r="AI319">
            <v>1</v>
          </cell>
          <cell r="AJ319">
            <v>1</v>
          </cell>
          <cell r="AK319">
            <v>1</v>
          </cell>
          <cell r="AQ319">
            <v>1</v>
          </cell>
          <cell r="AR319">
            <v>1</v>
          </cell>
          <cell r="AS319">
            <v>1</v>
          </cell>
          <cell r="AT319">
            <v>1</v>
          </cell>
          <cell r="AZ319" t="str">
            <v>B</v>
          </cell>
          <cell r="BA319" t="str">
            <v>부전(주)</v>
          </cell>
          <cell r="BB319" t="str">
            <v>H50A17K</v>
          </cell>
          <cell r="BD319" t="str">
            <v>K804</v>
          </cell>
          <cell r="BI319">
            <v>888</v>
          </cell>
          <cell r="BJ319">
            <v>2</v>
          </cell>
          <cell r="BK319">
            <v>90</v>
          </cell>
          <cell r="BL319">
            <v>65</v>
          </cell>
          <cell r="BM319"/>
          <cell r="BN319"/>
          <cell r="BO319"/>
          <cell r="BP319"/>
          <cell r="BQ319"/>
          <cell r="BR319"/>
          <cell r="BS319"/>
          <cell r="BT319"/>
          <cell r="BU319"/>
          <cell r="BV319"/>
          <cell r="BW319"/>
          <cell r="BX319"/>
          <cell r="BY319"/>
          <cell r="BZ319"/>
          <cell r="CA319"/>
          <cell r="CB319"/>
          <cell r="CC319"/>
          <cell r="CD319"/>
          <cell r="CE319"/>
          <cell r="CF319"/>
          <cell r="CG319"/>
          <cell r="CH319"/>
          <cell r="CI319"/>
          <cell r="CJ319"/>
          <cell r="CK319"/>
          <cell r="CL319"/>
          <cell r="CM319"/>
          <cell r="CN319"/>
          <cell r="CO319"/>
          <cell r="CP319"/>
          <cell r="CQ319"/>
        </row>
        <row r="320">
          <cell r="C320">
            <v>1378</v>
          </cell>
          <cell r="D320" t="str">
            <v>MB275282A</v>
          </cell>
          <cell r="E320" t="str">
            <v xml:space="preserve"> BRKT,3RD SEAT RH</v>
          </cell>
          <cell r="I320">
            <v>1</v>
          </cell>
          <cell r="J320">
            <v>1</v>
          </cell>
          <cell r="K320">
            <v>1</v>
          </cell>
          <cell r="O320">
            <v>1</v>
          </cell>
          <cell r="Q320">
            <v>1</v>
          </cell>
          <cell r="V320">
            <v>1</v>
          </cell>
          <cell r="X320">
            <v>1</v>
          </cell>
          <cell r="AE320">
            <v>1</v>
          </cell>
          <cell r="AG320">
            <v>1</v>
          </cell>
          <cell r="AI320">
            <v>1</v>
          </cell>
          <cell r="AJ320">
            <v>1</v>
          </cell>
          <cell r="AK320">
            <v>1</v>
          </cell>
          <cell r="AQ320">
            <v>1</v>
          </cell>
          <cell r="AR320">
            <v>1</v>
          </cell>
          <cell r="AS320">
            <v>1</v>
          </cell>
          <cell r="AT320">
            <v>1</v>
          </cell>
          <cell r="AZ320" t="str">
            <v>B</v>
          </cell>
          <cell r="BA320" t="str">
            <v>부전(주)</v>
          </cell>
          <cell r="BB320" t="str">
            <v>H50A17K</v>
          </cell>
          <cell r="BD320" t="str">
            <v>K804</v>
          </cell>
          <cell r="BI320">
            <v>888</v>
          </cell>
          <cell r="BJ320">
            <v>2</v>
          </cell>
          <cell r="BK320">
            <v>90</v>
          </cell>
          <cell r="BL320">
            <v>65</v>
          </cell>
          <cell r="BM320"/>
          <cell r="BN320"/>
          <cell r="BO320"/>
          <cell r="BP320"/>
          <cell r="BQ320"/>
          <cell r="BR320"/>
          <cell r="BS320"/>
          <cell r="BT320"/>
          <cell r="BU320"/>
          <cell r="BV320"/>
          <cell r="BW320"/>
          <cell r="BX320"/>
          <cell r="BY320"/>
          <cell r="BZ320"/>
          <cell r="CA320"/>
          <cell r="CB320"/>
          <cell r="CC320"/>
          <cell r="CD320"/>
          <cell r="CE320"/>
          <cell r="CF320"/>
          <cell r="CG320"/>
          <cell r="CH320"/>
          <cell r="CI320"/>
          <cell r="CJ320"/>
          <cell r="CK320"/>
          <cell r="CL320"/>
          <cell r="CM320"/>
          <cell r="CN320"/>
          <cell r="CO320"/>
          <cell r="CP320"/>
          <cell r="CQ320"/>
        </row>
        <row r="321">
          <cell r="C321">
            <v>2584</v>
          </cell>
          <cell r="D321" t="str">
            <v>MB275297</v>
          </cell>
          <cell r="E321" t="str">
            <v xml:space="preserve"> PLATE</v>
          </cell>
          <cell r="G321">
            <v>1</v>
          </cell>
          <cell r="AZ321" t="str">
            <v>B</v>
          </cell>
          <cell r="BA321" t="str">
            <v>부전(주)</v>
          </cell>
          <cell r="BB321" t="str">
            <v>H50A17K</v>
          </cell>
          <cell r="BC321" t="str">
            <v>LINE L/B 2EA사용</v>
          </cell>
          <cell r="BD321" t="str">
            <v>K804</v>
          </cell>
          <cell r="BE321" t="str">
            <v>ALL</v>
          </cell>
          <cell r="BI321">
            <v>0</v>
          </cell>
          <cell r="BJ321">
            <v>0</v>
          </cell>
          <cell r="BK321">
            <v>0</v>
          </cell>
          <cell r="BL321">
            <v>0</v>
          </cell>
          <cell r="BM321"/>
          <cell r="BN321"/>
          <cell r="BO321"/>
          <cell r="BP321"/>
          <cell r="BQ321"/>
          <cell r="BR321"/>
          <cell r="BS321"/>
          <cell r="BT321"/>
          <cell r="BU321"/>
          <cell r="BV321"/>
          <cell r="BW321"/>
          <cell r="BX321"/>
          <cell r="BY321"/>
          <cell r="BZ321"/>
          <cell r="CA321"/>
          <cell r="CB321"/>
          <cell r="CC321"/>
          <cell r="CD321"/>
          <cell r="CE321"/>
          <cell r="CF321"/>
          <cell r="CG321"/>
          <cell r="CH321"/>
          <cell r="CI321"/>
          <cell r="CJ321"/>
          <cell r="CK321"/>
        </row>
        <row r="322">
          <cell r="C322">
            <v>5168</v>
          </cell>
          <cell r="D322" t="str">
            <v>MB275303A</v>
          </cell>
          <cell r="E322" t="str">
            <v xml:space="preserve"> REINF ASS'Y,STRIKER</v>
          </cell>
          <cell r="G322">
            <v>2</v>
          </cell>
          <cell r="AZ322" t="str">
            <v>B</v>
          </cell>
          <cell r="BA322" t="str">
            <v>부전(주)</v>
          </cell>
          <cell r="BB322" t="str">
            <v>H50A17K</v>
          </cell>
          <cell r="BD322" t="str">
            <v>K804</v>
          </cell>
          <cell r="BE322" t="str">
            <v>ALL</v>
          </cell>
          <cell r="BI322">
            <v>0</v>
          </cell>
          <cell r="BJ322">
            <v>0</v>
          </cell>
          <cell r="BK322">
            <v>0</v>
          </cell>
          <cell r="BL322">
            <v>0</v>
          </cell>
          <cell r="BM322"/>
          <cell r="BN322"/>
          <cell r="BO322"/>
          <cell r="BP322"/>
          <cell r="BQ322"/>
          <cell r="BR322"/>
          <cell r="BS322"/>
          <cell r="BT322"/>
          <cell r="BU322"/>
          <cell r="BV322"/>
          <cell r="BW322"/>
          <cell r="BX322"/>
          <cell r="BY322"/>
          <cell r="BZ322"/>
          <cell r="CA322"/>
          <cell r="CB322"/>
          <cell r="CC322"/>
          <cell r="CD322"/>
          <cell r="CE322"/>
          <cell r="CF322"/>
          <cell r="CG322"/>
          <cell r="CH322"/>
          <cell r="CI322"/>
          <cell r="CJ322"/>
          <cell r="CK322"/>
        </row>
        <row r="323">
          <cell r="C323">
            <v>2584</v>
          </cell>
          <cell r="D323" t="str">
            <v>MB275314A</v>
          </cell>
          <cell r="E323" t="str">
            <v xml:space="preserve"> BRKT,RADIATOR GRILLE</v>
          </cell>
          <cell r="G323">
            <v>1</v>
          </cell>
          <cell r="AZ323" t="str">
            <v>T</v>
          </cell>
          <cell r="BA323" t="str">
            <v>부전(주)</v>
          </cell>
          <cell r="BB323" t="str">
            <v>H50C39K</v>
          </cell>
          <cell r="BD323" t="str">
            <v>K804</v>
          </cell>
          <cell r="BE323" t="str">
            <v>ALL</v>
          </cell>
          <cell r="BI323" t="e">
            <v>#REF!</v>
          </cell>
          <cell r="BJ323" t="e">
            <v>#REF!</v>
          </cell>
          <cell r="BK323" t="e">
            <v>#REF!</v>
          </cell>
          <cell r="BL323" t="e">
            <v>#REF!</v>
          </cell>
          <cell r="BM323"/>
          <cell r="BN323"/>
          <cell r="BO323"/>
          <cell r="BP323"/>
          <cell r="BQ323"/>
          <cell r="BR323"/>
          <cell r="BS323"/>
          <cell r="BT323"/>
          <cell r="BU323"/>
          <cell r="BV323"/>
          <cell r="BW323"/>
          <cell r="BX323"/>
          <cell r="BY323"/>
          <cell r="BZ323"/>
          <cell r="CA323"/>
          <cell r="CB323"/>
          <cell r="CC323"/>
          <cell r="CD323"/>
          <cell r="CE323"/>
          <cell r="CF323"/>
          <cell r="CG323"/>
          <cell r="CH323"/>
          <cell r="CI323"/>
          <cell r="CJ323"/>
          <cell r="CK323"/>
        </row>
        <row r="324">
          <cell r="C324">
            <v>2584</v>
          </cell>
          <cell r="D324" t="str">
            <v>MB275328</v>
          </cell>
          <cell r="E324" t="str">
            <v xml:space="preserve"> REINF,H/LP SUPT RH</v>
          </cell>
          <cell r="G324">
            <v>1</v>
          </cell>
          <cell r="AZ324" t="str">
            <v>B</v>
          </cell>
          <cell r="BA324" t="str">
            <v>부전(주)</v>
          </cell>
          <cell r="BB324" t="str">
            <v>H50A15K</v>
          </cell>
          <cell r="BD324" t="str">
            <v>K804</v>
          </cell>
          <cell r="BE324" t="str">
            <v>ALL</v>
          </cell>
          <cell r="BI324">
            <v>0</v>
          </cell>
          <cell r="BJ324">
            <v>0</v>
          </cell>
          <cell r="BK324">
            <v>0</v>
          </cell>
          <cell r="BL324">
            <v>0</v>
          </cell>
          <cell r="BM324"/>
          <cell r="BN324"/>
          <cell r="BO324"/>
          <cell r="BP324"/>
          <cell r="BQ324"/>
          <cell r="BR324"/>
          <cell r="BS324"/>
          <cell r="BT324"/>
          <cell r="BU324"/>
          <cell r="BV324"/>
          <cell r="BW324"/>
          <cell r="BX324"/>
          <cell r="BY324"/>
          <cell r="BZ324"/>
          <cell r="CA324"/>
          <cell r="CB324"/>
          <cell r="CC324"/>
          <cell r="CD324"/>
          <cell r="CE324"/>
          <cell r="CF324"/>
          <cell r="CG324"/>
          <cell r="CH324"/>
          <cell r="CI324"/>
          <cell r="CJ324"/>
          <cell r="CK324"/>
        </row>
        <row r="325">
          <cell r="C325">
            <v>2583</v>
          </cell>
          <cell r="D325" t="str">
            <v>MB275335A</v>
          </cell>
          <cell r="E325" t="str">
            <v xml:space="preserve"> SUPPORT,OIL COOLER </v>
          </cell>
          <cell r="H325">
            <v>1</v>
          </cell>
          <cell r="I325">
            <v>1</v>
          </cell>
          <cell r="J325">
            <v>1</v>
          </cell>
          <cell r="K325">
            <v>1</v>
          </cell>
          <cell r="L325">
            <v>1</v>
          </cell>
          <cell r="M325">
            <v>1</v>
          </cell>
          <cell r="N325">
            <v>1</v>
          </cell>
          <cell r="O325">
            <v>1</v>
          </cell>
          <cell r="P325">
            <v>1</v>
          </cell>
          <cell r="Q325">
            <v>1</v>
          </cell>
          <cell r="R325">
            <v>1</v>
          </cell>
          <cell r="S325">
            <v>1</v>
          </cell>
          <cell r="T325">
            <v>1</v>
          </cell>
          <cell r="U325">
            <v>1</v>
          </cell>
          <cell r="V325">
            <v>1</v>
          </cell>
          <cell r="W325">
            <v>1</v>
          </cell>
          <cell r="X325">
            <v>1</v>
          </cell>
          <cell r="Y325">
            <v>1</v>
          </cell>
          <cell r="Z325">
            <v>1</v>
          </cell>
          <cell r="AA325">
            <v>1</v>
          </cell>
          <cell r="AB325">
            <v>1</v>
          </cell>
          <cell r="AC325">
            <v>1</v>
          </cell>
          <cell r="AD325">
            <v>1</v>
          </cell>
          <cell r="AE325">
            <v>1</v>
          </cell>
          <cell r="AF325">
            <v>1</v>
          </cell>
          <cell r="AG325">
            <v>1</v>
          </cell>
          <cell r="AH325">
            <v>1</v>
          </cell>
          <cell r="AI325">
            <v>1</v>
          </cell>
          <cell r="AJ325">
            <v>1</v>
          </cell>
          <cell r="AK325"/>
          <cell r="AL325">
            <v>1</v>
          </cell>
          <cell r="AM325">
            <v>1</v>
          </cell>
          <cell r="AN325">
            <v>1</v>
          </cell>
          <cell r="AO325">
            <v>1</v>
          </cell>
          <cell r="AP325">
            <v>1</v>
          </cell>
          <cell r="AQ325">
            <v>1</v>
          </cell>
          <cell r="AR325">
            <v>1</v>
          </cell>
          <cell r="AS325">
            <v>1</v>
          </cell>
          <cell r="AT325">
            <v>1</v>
          </cell>
          <cell r="AU325">
            <v>1</v>
          </cell>
          <cell r="AV325">
            <v>1</v>
          </cell>
          <cell r="AW325">
            <v>1</v>
          </cell>
          <cell r="AY325">
            <v>1</v>
          </cell>
          <cell r="AZ325" t="str">
            <v>B</v>
          </cell>
          <cell r="BA325" t="str">
            <v>부전(주)</v>
          </cell>
          <cell r="BB325" t="str">
            <v>H50A15K</v>
          </cell>
          <cell r="BD325" t="str">
            <v>K804</v>
          </cell>
          <cell r="BE325" t="str">
            <v>ALL</v>
          </cell>
          <cell r="BI325">
            <v>937</v>
          </cell>
          <cell r="BJ325">
            <v>997</v>
          </cell>
          <cell r="BK325">
            <v>117</v>
          </cell>
          <cell r="BL325">
            <v>102</v>
          </cell>
          <cell r="BM325"/>
          <cell r="BN325"/>
          <cell r="BO325"/>
          <cell r="BP325"/>
          <cell r="BQ325"/>
          <cell r="BR325"/>
          <cell r="BS325"/>
          <cell r="BT325"/>
          <cell r="BU325"/>
          <cell r="BV325"/>
          <cell r="BW325"/>
          <cell r="BX325"/>
          <cell r="BY325"/>
          <cell r="BZ325"/>
          <cell r="CA325"/>
          <cell r="CB325"/>
          <cell r="CC325"/>
          <cell r="CD325"/>
          <cell r="CE325"/>
          <cell r="CF325"/>
          <cell r="CG325"/>
          <cell r="CH325"/>
          <cell r="CI325"/>
          <cell r="CJ325"/>
          <cell r="CK325"/>
        </row>
        <row r="326">
          <cell r="C326" t="str">
            <v>☆</v>
          </cell>
          <cell r="D326" t="str">
            <v>MB275406</v>
          </cell>
          <cell r="E326" t="str">
            <v xml:space="preserve"> PLATE - TRIM</v>
          </cell>
          <cell r="F326" t="str">
            <v>유상 사급</v>
          </cell>
          <cell r="AZ326" t="str">
            <v>B</v>
          </cell>
          <cell r="BA326" t="str">
            <v>부전(주)</v>
          </cell>
        </row>
        <row r="327">
          <cell r="C327">
            <v>2584</v>
          </cell>
          <cell r="D327" t="str">
            <v>MB275425</v>
          </cell>
          <cell r="E327" t="str">
            <v xml:space="preserve"> BULKHEAD UPR LH</v>
          </cell>
          <cell r="G327">
            <v>1</v>
          </cell>
          <cell r="AZ327" t="str">
            <v>B</v>
          </cell>
          <cell r="BA327" t="str">
            <v>부전(주)</v>
          </cell>
          <cell r="BB327" t="str">
            <v>H50A16K</v>
          </cell>
          <cell r="BD327" t="str">
            <v>K804</v>
          </cell>
          <cell r="BE327" t="str">
            <v>ALL</v>
          </cell>
          <cell r="BI327">
            <v>0</v>
          </cell>
          <cell r="BJ327">
            <v>0</v>
          </cell>
          <cell r="BK327">
            <v>0</v>
          </cell>
          <cell r="BL327">
            <v>0</v>
          </cell>
          <cell r="BM327"/>
          <cell r="BN327"/>
          <cell r="BO327"/>
          <cell r="BP327"/>
          <cell r="BQ327"/>
          <cell r="BR327"/>
          <cell r="BS327"/>
          <cell r="BT327"/>
          <cell r="BU327"/>
          <cell r="BV327"/>
          <cell r="BW327"/>
          <cell r="BX327"/>
          <cell r="BY327"/>
          <cell r="BZ327"/>
          <cell r="CA327"/>
          <cell r="CB327"/>
          <cell r="CC327"/>
          <cell r="CD327"/>
          <cell r="CE327"/>
          <cell r="CF327"/>
          <cell r="CG327"/>
          <cell r="CH327"/>
          <cell r="CI327"/>
          <cell r="CJ327"/>
          <cell r="CK327"/>
        </row>
        <row r="328">
          <cell r="C328">
            <v>2584</v>
          </cell>
          <cell r="D328" t="str">
            <v>MB275426</v>
          </cell>
          <cell r="E328" t="str">
            <v xml:space="preserve"> BULKHEAD UPR RH</v>
          </cell>
          <cell r="F328" t="str">
            <v>MB274710A</v>
          </cell>
          <cell r="G328">
            <v>1</v>
          </cell>
          <cell r="AZ328" t="str">
            <v>B</v>
          </cell>
          <cell r="BA328" t="str">
            <v>부전(주)</v>
          </cell>
          <cell r="BB328" t="str">
            <v>H50A16K</v>
          </cell>
          <cell r="BD328" t="str">
            <v>K804</v>
          </cell>
          <cell r="BE328" t="str">
            <v>ALL</v>
          </cell>
          <cell r="BI328">
            <v>0</v>
          </cell>
          <cell r="BJ328">
            <v>0</v>
          </cell>
          <cell r="BK328">
            <v>0</v>
          </cell>
          <cell r="BL328">
            <v>0</v>
          </cell>
          <cell r="BM328"/>
          <cell r="BN328"/>
          <cell r="BO328"/>
          <cell r="BP328"/>
          <cell r="BQ328"/>
          <cell r="BR328"/>
          <cell r="BS328"/>
          <cell r="BT328"/>
          <cell r="BU328"/>
          <cell r="BV328"/>
          <cell r="BW328"/>
          <cell r="BX328"/>
          <cell r="BY328"/>
          <cell r="BZ328"/>
          <cell r="CA328"/>
          <cell r="CB328"/>
          <cell r="CC328"/>
          <cell r="CD328"/>
          <cell r="CE328"/>
          <cell r="CF328"/>
          <cell r="CG328"/>
          <cell r="CH328"/>
          <cell r="CI328"/>
          <cell r="CJ328"/>
          <cell r="CK328"/>
        </row>
        <row r="329">
          <cell r="C329">
            <v>1378</v>
          </cell>
          <cell r="D329" t="str">
            <v>MB275559A</v>
          </cell>
          <cell r="E329" t="str">
            <v xml:space="preserve"> BRKT,ROOF BOW(B) LH</v>
          </cell>
          <cell r="I329">
            <v>1</v>
          </cell>
          <cell r="J329">
            <v>1</v>
          </cell>
          <cell r="K329">
            <v>1</v>
          </cell>
          <cell r="O329">
            <v>1</v>
          </cell>
          <cell r="Q329">
            <v>1</v>
          </cell>
          <cell r="V329">
            <v>1</v>
          </cell>
          <cell r="X329">
            <v>1</v>
          </cell>
          <cell r="AE329">
            <v>1</v>
          </cell>
          <cell r="AG329">
            <v>1</v>
          </cell>
          <cell r="AI329">
            <v>1</v>
          </cell>
          <cell r="AJ329">
            <v>1</v>
          </cell>
          <cell r="AK329">
            <v>1</v>
          </cell>
          <cell r="AQ329">
            <v>1</v>
          </cell>
          <cell r="AR329">
            <v>1</v>
          </cell>
          <cell r="AS329">
            <v>1</v>
          </cell>
          <cell r="AT329">
            <v>1</v>
          </cell>
          <cell r="AZ329" t="str">
            <v>B</v>
          </cell>
          <cell r="BA329" t="str">
            <v>부전(주)</v>
          </cell>
          <cell r="BB329" t="str">
            <v>H50A17K</v>
          </cell>
          <cell r="BD329" t="str">
            <v>K804</v>
          </cell>
          <cell r="BI329">
            <v>888</v>
          </cell>
          <cell r="BJ329">
            <v>2</v>
          </cell>
          <cell r="BK329">
            <v>90</v>
          </cell>
          <cell r="BL329">
            <v>65</v>
          </cell>
          <cell r="BM329"/>
          <cell r="BN329"/>
          <cell r="BO329"/>
          <cell r="BP329"/>
          <cell r="BQ329"/>
          <cell r="BR329"/>
          <cell r="BS329"/>
          <cell r="BT329"/>
          <cell r="BU329"/>
          <cell r="BV329"/>
          <cell r="BW329"/>
          <cell r="BX329"/>
          <cell r="BY329"/>
          <cell r="BZ329"/>
          <cell r="CA329"/>
          <cell r="CB329"/>
          <cell r="CC329"/>
          <cell r="CD329"/>
          <cell r="CE329"/>
          <cell r="CF329"/>
          <cell r="CG329"/>
          <cell r="CH329"/>
          <cell r="CI329"/>
          <cell r="CJ329"/>
          <cell r="CK329"/>
          <cell r="CL329"/>
          <cell r="CM329"/>
          <cell r="CN329"/>
          <cell r="CO329"/>
          <cell r="CP329"/>
          <cell r="CQ329"/>
        </row>
        <row r="330">
          <cell r="C330">
            <v>1378</v>
          </cell>
          <cell r="D330" t="str">
            <v>MB275560A</v>
          </cell>
          <cell r="E330" t="str">
            <v xml:space="preserve"> BRKT,ROOF BOW(B) RH</v>
          </cell>
          <cell r="I330">
            <v>1</v>
          </cell>
          <cell r="J330">
            <v>1</v>
          </cell>
          <cell r="K330">
            <v>1</v>
          </cell>
          <cell r="O330">
            <v>1</v>
          </cell>
          <cell r="Q330">
            <v>1</v>
          </cell>
          <cell r="V330">
            <v>1</v>
          </cell>
          <cell r="X330">
            <v>1</v>
          </cell>
          <cell r="AE330">
            <v>1</v>
          </cell>
          <cell r="AG330">
            <v>1</v>
          </cell>
          <cell r="AI330">
            <v>1</v>
          </cell>
          <cell r="AJ330">
            <v>1</v>
          </cell>
          <cell r="AK330">
            <v>1</v>
          </cell>
          <cell r="AQ330">
            <v>1</v>
          </cell>
          <cell r="AR330">
            <v>1</v>
          </cell>
          <cell r="AS330">
            <v>1</v>
          </cell>
          <cell r="AT330">
            <v>1</v>
          </cell>
          <cell r="AZ330" t="str">
            <v>B</v>
          </cell>
          <cell r="BA330" t="str">
            <v>부전(주)</v>
          </cell>
          <cell r="BB330" t="str">
            <v>H50A17K</v>
          </cell>
          <cell r="BD330" t="str">
            <v>K804</v>
          </cell>
          <cell r="BI330">
            <v>888</v>
          </cell>
          <cell r="BJ330">
            <v>2</v>
          </cell>
          <cell r="BK330">
            <v>90</v>
          </cell>
          <cell r="BL330">
            <v>65</v>
          </cell>
          <cell r="BM330"/>
          <cell r="BN330"/>
          <cell r="BO330"/>
          <cell r="BP330"/>
          <cell r="BQ330"/>
          <cell r="BR330"/>
          <cell r="BS330"/>
          <cell r="BT330"/>
          <cell r="BU330"/>
          <cell r="BV330"/>
          <cell r="BW330"/>
          <cell r="BX330"/>
          <cell r="BY330"/>
          <cell r="BZ330"/>
          <cell r="CA330"/>
          <cell r="CB330"/>
          <cell r="CC330"/>
          <cell r="CD330"/>
          <cell r="CE330"/>
          <cell r="CF330"/>
          <cell r="CG330"/>
          <cell r="CH330"/>
          <cell r="CI330"/>
          <cell r="CJ330"/>
          <cell r="CK330"/>
          <cell r="CL330"/>
          <cell r="CM330"/>
          <cell r="CN330"/>
          <cell r="CO330"/>
          <cell r="CP330"/>
          <cell r="CQ330"/>
        </row>
        <row r="331">
          <cell r="C331">
            <v>1378</v>
          </cell>
          <cell r="D331" t="str">
            <v>MB275563A</v>
          </cell>
          <cell r="E331" t="str">
            <v xml:space="preserve"> BRKT,ROOF BOW(A) LH</v>
          </cell>
          <cell r="I331">
            <v>1</v>
          </cell>
          <cell r="J331">
            <v>1</v>
          </cell>
          <cell r="K331">
            <v>1</v>
          </cell>
          <cell r="O331">
            <v>1</v>
          </cell>
          <cell r="Q331">
            <v>1</v>
          </cell>
          <cell r="V331">
            <v>1</v>
          </cell>
          <cell r="X331">
            <v>1</v>
          </cell>
          <cell r="AE331">
            <v>1</v>
          </cell>
          <cell r="AG331">
            <v>1</v>
          </cell>
          <cell r="AI331">
            <v>1</v>
          </cell>
          <cell r="AJ331">
            <v>1</v>
          </cell>
          <cell r="AK331">
            <v>1</v>
          </cell>
          <cell r="AQ331">
            <v>1</v>
          </cell>
          <cell r="AR331">
            <v>1</v>
          </cell>
          <cell r="AS331">
            <v>1</v>
          </cell>
          <cell r="AT331">
            <v>1</v>
          </cell>
          <cell r="AZ331" t="str">
            <v>B</v>
          </cell>
          <cell r="BA331" t="str">
            <v>부전(주)</v>
          </cell>
          <cell r="BB331" t="str">
            <v>H50A17K</v>
          </cell>
          <cell r="BD331" t="str">
            <v>K804</v>
          </cell>
          <cell r="BI331">
            <v>888</v>
          </cell>
          <cell r="BJ331">
            <v>2</v>
          </cell>
          <cell r="BK331">
            <v>90</v>
          </cell>
          <cell r="BL331">
            <v>65</v>
          </cell>
          <cell r="BM331"/>
          <cell r="BN331"/>
          <cell r="BO331"/>
          <cell r="BP331"/>
          <cell r="BQ331"/>
          <cell r="BR331"/>
          <cell r="BS331"/>
          <cell r="BT331"/>
          <cell r="BU331"/>
          <cell r="BV331"/>
          <cell r="BW331"/>
          <cell r="BX331"/>
          <cell r="BY331"/>
          <cell r="BZ331"/>
          <cell r="CA331"/>
          <cell r="CB331"/>
          <cell r="CC331"/>
          <cell r="CD331"/>
          <cell r="CE331"/>
          <cell r="CF331"/>
          <cell r="CG331"/>
          <cell r="CH331"/>
          <cell r="CI331"/>
          <cell r="CJ331"/>
          <cell r="CK331"/>
          <cell r="CL331"/>
          <cell r="CM331"/>
          <cell r="CN331"/>
          <cell r="CO331"/>
          <cell r="CP331"/>
          <cell r="CQ331"/>
        </row>
        <row r="332">
          <cell r="C332">
            <v>1378</v>
          </cell>
          <cell r="D332" t="str">
            <v>MB275564A</v>
          </cell>
          <cell r="E332" t="str">
            <v xml:space="preserve"> BRKT,ROOF BOW(A) RH</v>
          </cell>
          <cell r="I332">
            <v>1</v>
          </cell>
          <cell r="J332">
            <v>1</v>
          </cell>
          <cell r="K332">
            <v>1</v>
          </cell>
          <cell r="O332">
            <v>1</v>
          </cell>
          <cell r="Q332">
            <v>1</v>
          </cell>
          <cell r="V332">
            <v>1</v>
          </cell>
          <cell r="X332">
            <v>1</v>
          </cell>
          <cell r="AE332">
            <v>1</v>
          </cell>
          <cell r="AG332">
            <v>1</v>
          </cell>
          <cell r="AI332">
            <v>1</v>
          </cell>
          <cell r="AJ332">
            <v>1</v>
          </cell>
          <cell r="AK332">
            <v>1</v>
          </cell>
          <cell r="AQ332">
            <v>1</v>
          </cell>
          <cell r="AR332">
            <v>1</v>
          </cell>
          <cell r="AS332">
            <v>1</v>
          </cell>
          <cell r="AT332">
            <v>1</v>
          </cell>
          <cell r="AZ332" t="str">
            <v>B</v>
          </cell>
          <cell r="BA332" t="str">
            <v>부전(주)</v>
          </cell>
          <cell r="BB332" t="str">
            <v>H50A17K</v>
          </cell>
          <cell r="BD332" t="str">
            <v>K804</v>
          </cell>
          <cell r="BI332">
            <v>888</v>
          </cell>
          <cell r="BJ332">
            <v>2</v>
          </cell>
          <cell r="BK332">
            <v>90</v>
          </cell>
          <cell r="BL332">
            <v>65</v>
          </cell>
          <cell r="BM332"/>
          <cell r="BN332"/>
          <cell r="BO332"/>
          <cell r="BP332"/>
          <cell r="BQ332"/>
          <cell r="BR332"/>
          <cell r="BS332"/>
          <cell r="BT332"/>
          <cell r="BU332"/>
          <cell r="BV332"/>
          <cell r="BW332"/>
          <cell r="BX332"/>
          <cell r="BY332"/>
          <cell r="BZ332"/>
          <cell r="CA332"/>
          <cell r="CB332"/>
          <cell r="CC332"/>
          <cell r="CD332"/>
          <cell r="CE332"/>
          <cell r="CF332"/>
          <cell r="CG332"/>
          <cell r="CH332"/>
          <cell r="CI332"/>
          <cell r="CJ332"/>
          <cell r="CK332"/>
          <cell r="CL332"/>
          <cell r="CM332"/>
          <cell r="CN332"/>
          <cell r="CO332"/>
          <cell r="CP332"/>
          <cell r="CQ332"/>
        </row>
        <row r="333">
          <cell r="C333">
            <v>1413</v>
          </cell>
          <cell r="D333" t="str">
            <v>MB275570</v>
          </cell>
          <cell r="E333" t="str">
            <v xml:space="preserve"> BRKT,OIL PIPE</v>
          </cell>
          <cell r="F333" t="str">
            <v>+431</v>
          </cell>
          <cell r="K333">
            <v>1</v>
          </cell>
          <cell r="M333">
            <v>1</v>
          </cell>
          <cell r="N333">
            <v>1</v>
          </cell>
          <cell r="O333">
            <v>1</v>
          </cell>
          <cell r="P333">
            <v>1</v>
          </cell>
          <cell r="Q333">
            <v>1</v>
          </cell>
          <cell r="T333">
            <v>1</v>
          </cell>
          <cell r="W333">
            <v>1</v>
          </cell>
          <cell r="X333">
            <v>1</v>
          </cell>
          <cell r="Z333">
            <v>1</v>
          </cell>
          <cell r="AD333">
            <v>1</v>
          </cell>
          <cell r="AE333">
            <v>1</v>
          </cell>
          <cell r="AH333">
            <v>1</v>
          </cell>
          <cell r="AI333">
            <v>1</v>
          </cell>
          <cell r="AO333">
            <v>1</v>
          </cell>
          <cell r="AP333">
            <v>1</v>
          </cell>
          <cell r="AS333">
            <v>1</v>
          </cell>
          <cell r="AT333">
            <v>1</v>
          </cell>
          <cell r="AW333">
            <v>1</v>
          </cell>
          <cell r="AZ333" t="str">
            <v>B</v>
          </cell>
          <cell r="BA333" t="str">
            <v>부전(주)</v>
          </cell>
          <cell r="BB333" t="str">
            <v>H50A15K01-5,6,9,10</v>
          </cell>
          <cell r="BC333" t="str">
            <v>D</v>
          </cell>
          <cell r="BD333" t="str">
            <v>K804</v>
          </cell>
          <cell r="BE333" t="str">
            <v>AT</v>
          </cell>
          <cell r="BI333">
            <v>684</v>
          </cell>
          <cell r="BJ333">
            <v>237</v>
          </cell>
          <cell r="BK333">
            <v>61</v>
          </cell>
          <cell r="BL333">
            <v>31</v>
          </cell>
          <cell r="BM333"/>
          <cell r="BN333"/>
          <cell r="BO333"/>
          <cell r="BP333"/>
          <cell r="BQ333"/>
          <cell r="BR333"/>
          <cell r="BS333"/>
          <cell r="BT333"/>
          <cell r="BU333"/>
          <cell r="BV333"/>
          <cell r="BW333"/>
          <cell r="BX333"/>
          <cell r="BY333"/>
          <cell r="BZ333"/>
          <cell r="CA333"/>
          <cell r="CB333"/>
          <cell r="CC333"/>
          <cell r="CD333"/>
          <cell r="CE333"/>
          <cell r="CF333"/>
          <cell r="CG333"/>
          <cell r="CH333"/>
          <cell r="CI333"/>
          <cell r="CJ333"/>
          <cell r="CK333"/>
          <cell r="CL333"/>
          <cell r="CM333"/>
          <cell r="CN333"/>
          <cell r="CO333"/>
          <cell r="CP333"/>
          <cell r="CQ333"/>
        </row>
        <row r="334">
          <cell r="C334">
            <v>1413</v>
          </cell>
          <cell r="D334" t="str">
            <v>MB275572</v>
          </cell>
          <cell r="E334" t="str">
            <v xml:space="preserve"> BRKT,OIL COOLER</v>
          </cell>
          <cell r="F334" t="str">
            <v>+431</v>
          </cell>
          <cell r="K334">
            <v>1</v>
          </cell>
          <cell r="M334">
            <v>1</v>
          </cell>
          <cell r="N334">
            <v>1</v>
          </cell>
          <cell r="O334">
            <v>1</v>
          </cell>
          <cell r="P334">
            <v>1</v>
          </cell>
          <cell r="Q334">
            <v>1</v>
          </cell>
          <cell r="T334">
            <v>1</v>
          </cell>
          <cell r="W334">
            <v>1</v>
          </cell>
          <cell r="X334">
            <v>1</v>
          </cell>
          <cell r="Z334">
            <v>1</v>
          </cell>
          <cell r="AD334">
            <v>1</v>
          </cell>
          <cell r="AE334">
            <v>1</v>
          </cell>
          <cell r="AH334">
            <v>1</v>
          </cell>
          <cell r="AI334">
            <v>1</v>
          </cell>
          <cell r="AO334">
            <v>1</v>
          </cell>
          <cell r="AP334">
            <v>1</v>
          </cell>
          <cell r="AS334">
            <v>1</v>
          </cell>
          <cell r="AT334">
            <v>1</v>
          </cell>
          <cell r="AW334">
            <v>1</v>
          </cell>
          <cell r="AZ334" t="str">
            <v>B</v>
          </cell>
          <cell r="BA334" t="str">
            <v>부전(주)</v>
          </cell>
          <cell r="BB334" t="str">
            <v>H50A15K01-5,6,9,10</v>
          </cell>
          <cell r="BC334" t="str">
            <v>D</v>
          </cell>
          <cell r="BD334" t="str">
            <v>K804</v>
          </cell>
          <cell r="BE334" t="str">
            <v>AT</v>
          </cell>
          <cell r="BI334">
            <v>684</v>
          </cell>
          <cell r="BJ334">
            <v>237</v>
          </cell>
          <cell r="BK334">
            <v>61</v>
          </cell>
          <cell r="BL334">
            <v>31</v>
          </cell>
          <cell r="BM334"/>
          <cell r="BN334"/>
          <cell r="BO334"/>
          <cell r="BP334"/>
          <cell r="BQ334"/>
          <cell r="BR334"/>
          <cell r="BS334"/>
          <cell r="BT334"/>
          <cell r="BU334"/>
          <cell r="BV334"/>
          <cell r="BW334"/>
          <cell r="BX334"/>
          <cell r="BY334"/>
          <cell r="BZ334"/>
          <cell r="CA334"/>
          <cell r="CB334"/>
          <cell r="CC334"/>
          <cell r="CD334"/>
          <cell r="CE334"/>
          <cell r="CF334"/>
          <cell r="CG334"/>
          <cell r="CH334"/>
          <cell r="CI334"/>
          <cell r="CJ334"/>
          <cell r="CK334"/>
          <cell r="CL334"/>
          <cell r="CM334"/>
          <cell r="CN334"/>
          <cell r="CO334"/>
          <cell r="CP334"/>
          <cell r="CQ334"/>
        </row>
        <row r="335">
          <cell r="C335">
            <v>10336</v>
          </cell>
          <cell r="D335" t="str">
            <v>MB275723A</v>
          </cell>
          <cell r="E335" t="str">
            <v xml:space="preserve"> REINF,SIDE STEP LH</v>
          </cell>
          <cell r="G335">
            <v>4</v>
          </cell>
          <cell r="AZ335" t="str">
            <v>B</v>
          </cell>
          <cell r="BA335" t="str">
            <v>부전(주)</v>
          </cell>
          <cell r="BB335" t="str">
            <v>H50A11K</v>
          </cell>
          <cell r="BD335" t="str">
            <v>K804</v>
          </cell>
          <cell r="BE335" t="str">
            <v>ALL</v>
          </cell>
          <cell r="BI335">
            <v>0</v>
          </cell>
          <cell r="BJ335">
            <v>0</v>
          </cell>
          <cell r="BK335">
            <v>0</v>
          </cell>
          <cell r="BL335">
            <v>0</v>
          </cell>
          <cell r="BM335"/>
          <cell r="BN335"/>
          <cell r="BO335"/>
          <cell r="BP335"/>
          <cell r="BQ335"/>
          <cell r="BR335"/>
          <cell r="BS335"/>
          <cell r="BT335"/>
          <cell r="BU335"/>
          <cell r="BV335"/>
          <cell r="BW335"/>
          <cell r="BX335"/>
          <cell r="BY335"/>
          <cell r="BZ335"/>
          <cell r="CA335"/>
          <cell r="CB335"/>
          <cell r="CC335"/>
          <cell r="CD335"/>
          <cell r="CE335"/>
          <cell r="CF335"/>
          <cell r="CG335"/>
          <cell r="CH335"/>
          <cell r="CI335"/>
          <cell r="CJ335"/>
          <cell r="CK335"/>
        </row>
        <row r="336">
          <cell r="C336">
            <v>10336</v>
          </cell>
          <cell r="D336" t="str">
            <v>MB275724A</v>
          </cell>
          <cell r="E336" t="str">
            <v xml:space="preserve"> REINF,SIDE STEP RH</v>
          </cell>
          <cell r="G336">
            <v>4</v>
          </cell>
          <cell r="AZ336" t="str">
            <v>B</v>
          </cell>
          <cell r="BA336" t="str">
            <v>부전(주)</v>
          </cell>
          <cell r="BB336" t="str">
            <v>H50A11K</v>
          </cell>
          <cell r="BD336" t="str">
            <v>K804</v>
          </cell>
          <cell r="BE336" t="str">
            <v>ALL</v>
          </cell>
          <cell r="BI336">
            <v>0</v>
          </cell>
          <cell r="BJ336">
            <v>0</v>
          </cell>
          <cell r="BK336">
            <v>0</v>
          </cell>
          <cell r="BL336">
            <v>0</v>
          </cell>
          <cell r="BM336"/>
          <cell r="BN336"/>
          <cell r="BO336"/>
          <cell r="BP336"/>
          <cell r="BQ336"/>
          <cell r="BR336"/>
          <cell r="BS336"/>
          <cell r="BT336"/>
          <cell r="BU336"/>
          <cell r="BV336"/>
          <cell r="BW336"/>
          <cell r="BX336"/>
          <cell r="BY336"/>
          <cell r="BZ336"/>
          <cell r="CA336"/>
          <cell r="CB336"/>
          <cell r="CC336"/>
          <cell r="CD336"/>
          <cell r="CE336"/>
          <cell r="CF336"/>
          <cell r="CG336"/>
          <cell r="CH336"/>
          <cell r="CI336"/>
          <cell r="CJ336"/>
          <cell r="CK336"/>
        </row>
        <row r="337">
          <cell r="C337">
            <v>1413</v>
          </cell>
          <cell r="D337" t="str">
            <v>MB275763</v>
          </cell>
          <cell r="E337" t="str">
            <v xml:space="preserve"> BRKT RUBBER LH</v>
          </cell>
          <cell r="F337" t="str">
            <v>+431</v>
          </cell>
          <cell r="K337">
            <v>1</v>
          </cell>
          <cell r="M337">
            <v>1</v>
          </cell>
          <cell r="N337">
            <v>1</v>
          </cell>
          <cell r="O337">
            <v>1</v>
          </cell>
          <cell r="P337">
            <v>1</v>
          </cell>
          <cell r="Q337">
            <v>1</v>
          </cell>
          <cell r="T337">
            <v>1</v>
          </cell>
          <cell r="W337">
            <v>1</v>
          </cell>
          <cell r="X337">
            <v>1</v>
          </cell>
          <cell r="AD337">
            <v>1</v>
          </cell>
          <cell r="AE337">
            <v>1</v>
          </cell>
          <cell r="AH337">
            <v>1</v>
          </cell>
          <cell r="AI337">
            <v>1</v>
          </cell>
          <cell r="AO337">
            <v>1</v>
          </cell>
          <cell r="AP337">
            <v>1</v>
          </cell>
          <cell r="AS337">
            <v>1</v>
          </cell>
          <cell r="AT337">
            <v>1</v>
          </cell>
          <cell r="AW337">
            <v>1</v>
          </cell>
          <cell r="AZ337" t="str">
            <v>B</v>
          </cell>
          <cell r="BA337" t="str">
            <v>부전(주)</v>
          </cell>
          <cell r="BB337" t="str">
            <v>H50A11K01-6,7,10,11,14^17</v>
          </cell>
          <cell r="BC337" t="str">
            <v>D</v>
          </cell>
          <cell r="BD337" t="str">
            <v>K804</v>
          </cell>
          <cell r="BE337" t="str">
            <v>AT</v>
          </cell>
          <cell r="BI337">
            <v>684</v>
          </cell>
          <cell r="BJ337">
            <v>237</v>
          </cell>
          <cell r="BK337">
            <v>61</v>
          </cell>
          <cell r="BL337">
            <v>31</v>
          </cell>
          <cell r="BM337"/>
          <cell r="BN337"/>
          <cell r="BO337"/>
          <cell r="BP337"/>
          <cell r="BQ337"/>
          <cell r="BR337"/>
          <cell r="BS337"/>
          <cell r="BT337"/>
          <cell r="BU337"/>
          <cell r="BV337"/>
          <cell r="BW337"/>
          <cell r="BX337"/>
          <cell r="BY337"/>
          <cell r="BZ337"/>
          <cell r="CA337"/>
          <cell r="CB337"/>
          <cell r="CC337"/>
          <cell r="CD337"/>
          <cell r="CE337"/>
          <cell r="CF337"/>
          <cell r="CG337"/>
          <cell r="CH337"/>
          <cell r="CI337"/>
          <cell r="CJ337"/>
          <cell r="CK337"/>
          <cell r="CL337"/>
          <cell r="CM337"/>
          <cell r="CN337"/>
          <cell r="CO337"/>
          <cell r="CP337"/>
          <cell r="CQ337"/>
        </row>
        <row r="338">
          <cell r="C338">
            <v>1413</v>
          </cell>
          <cell r="D338" t="str">
            <v>MB275799</v>
          </cell>
          <cell r="E338" t="str">
            <v xml:space="preserve"> BRKT RUBBER RH</v>
          </cell>
          <cell r="F338" t="str">
            <v>+431</v>
          </cell>
          <cell r="K338">
            <v>1</v>
          </cell>
          <cell r="M338">
            <v>1</v>
          </cell>
          <cell r="N338">
            <v>1</v>
          </cell>
          <cell r="O338">
            <v>1</v>
          </cell>
          <cell r="P338">
            <v>1</v>
          </cell>
          <cell r="Q338">
            <v>1</v>
          </cell>
          <cell r="T338">
            <v>1</v>
          </cell>
          <cell r="W338">
            <v>1</v>
          </cell>
          <cell r="X338">
            <v>1</v>
          </cell>
          <cell r="AD338">
            <v>1</v>
          </cell>
          <cell r="AE338">
            <v>1</v>
          </cell>
          <cell r="AH338">
            <v>1</v>
          </cell>
          <cell r="AI338">
            <v>1</v>
          </cell>
          <cell r="AO338">
            <v>1</v>
          </cell>
          <cell r="AP338">
            <v>1</v>
          </cell>
          <cell r="AS338">
            <v>1</v>
          </cell>
          <cell r="AT338">
            <v>1</v>
          </cell>
          <cell r="AW338">
            <v>1</v>
          </cell>
          <cell r="AZ338" t="str">
            <v>B</v>
          </cell>
          <cell r="BA338" t="str">
            <v>부전(주)</v>
          </cell>
          <cell r="BB338" t="str">
            <v>H50A11K01-6,7,10,11,14^17</v>
          </cell>
          <cell r="BC338" t="str">
            <v>D</v>
          </cell>
          <cell r="BD338" t="str">
            <v>K804</v>
          </cell>
          <cell r="BE338" t="str">
            <v>AT</v>
          </cell>
          <cell r="BI338">
            <v>684</v>
          </cell>
          <cell r="BJ338">
            <v>237</v>
          </cell>
          <cell r="BK338">
            <v>61</v>
          </cell>
          <cell r="BL338">
            <v>31</v>
          </cell>
          <cell r="BM338"/>
          <cell r="BN338"/>
          <cell r="BO338"/>
          <cell r="BP338"/>
          <cell r="BQ338"/>
          <cell r="BR338"/>
          <cell r="BS338"/>
          <cell r="BT338"/>
          <cell r="BU338"/>
          <cell r="BV338"/>
          <cell r="BW338"/>
          <cell r="BX338"/>
          <cell r="BY338"/>
          <cell r="BZ338"/>
          <cell r="CA338"/>
          <cell r="CB338"/>
          <cell r="CC338"/>
          <cell r="CD338"/>
          <cell r="CE338"/>
          <cell r="CF338"/>
          <cell r="CG338"/>
          <cell r="CH338"/>
          <cell r="CI338"/>
          <cell r="CJ338"/>
          <cell r="CK338"/>
          <cell r="CL338"/>
          <cell r="CM338"/>
          <cell r="CN338"/>
          <cell r="CO338"/>
          <cell r="CP338"/>
          <cell r="CQ338"/>
        </row>
        <row r="339">
          <cell r="C339">
            <v>5168</v>
          </cell>
          <cell r="D339" t="str">
            <v>MB275800A</v>
          </cell>
          <cell r="E339" t="str">
            <v xml:space="preserve"> BRKT,FENDER</v>
          </cell>
          <cell r="G339">
            <v>2</v>
          </cell>
          <cell r="AZ339" t="str">
            <v>B</v>
          </cell>
          <cell r="BA339" t="str">
            <v>부전(주)</v>
          </cell>
          <cell r="BB339" t="str">
            <v>H50A16K</v>
          </cell>
          <cell r="BD339" t="str">
            <v>K804</v>
          </cell>
          <cell r="BE339" t="str">
            <v>ALL</v>
          </cell>
          <cell r="BI339">
            <v>0</v>
          </cell>
          <cell r="BJ339">
            <v>0</v>
          </cell>
          <cell r="BK339">
            <v>0</v>
          </cell>
          <cell r="BL339">
            <v>0</v>
          </cell>
          <cell r="BM339"/>
          <cell r="BN339"/>
          <cell r="BO339"/>
          <cell r="BP339"/>
          <cell r="BQ339"/>
          <cell r="BR339"/>
          <cell r="BS339"/>
          <cell r="BT339"/>
          <cell r="BU339"/>
          <cell r="BV339"/>
          <cell r="BW339"/>
          <cell r="BX339"/>
          <cell r="BY339"/>
          <cell r="BZ339"/>
          <cell r="CA339"/>
          <cell r="CB339"/>
          <cell r="CC339"/>
          <cell r="CD339"/>
          <cell r="CE339"/>
          <cell r="CF339"/>
          <cell r="CG339"/>
          <cell r="CH339"/>
          <cell r="CI339"/>
          <cell r="CJ339"/>
          <cell r="CK339"/>
        </row>
        <row r="340">
          <cell r="C340">
            <v>2584</v>
          </cell>
          <cell r="D340" t="str">
            <v>MB275856A</v>
          </cell>
          <cell r="E340" t="str">
            <v xml:space="preserve"> PLATE RH</v>
          </cell>
          <cell r="G340">
            <v>1</v>
          </cell>
          <cell r="AZ340" t="str">
            <v>B</v>
          </cell>
          <cell r="BA340" t="str">
            <v>부전(주)</v>
          </cell>
          <cell r="BB340" t="str">
            <v>H50A13K</v>
          </cell>
          <cell r="BD340" t="str">
            <v>K804</v>
          </cell>
          <cell r="BE340" t="str">
            <v>ALL</v>
          </cell>
          <cell r="BI340">
            <v>0</v>
          </cell>
          <cell r="BJ340">
            <v>0</v>
          </cell>
          <cell r="BK340">
            <v>0</v>
          </cell>
          <cell r="BL340">
            <v>0</v>
          </cell>
          <cell r="BM340"/>
          <cell r="BN340"/>
          <cell r="BO340"/>
          <cell r="BP340"/>
          <cell r="BQ340"/>
          <cell r="BR340"/>
          <cell r="BS340"/>
          <cell r="BT340"/>
          <cell r="BU340"/>
          <cell r="BV340"/>
          <cell r="BW340"/>
          <cell r="BX340"/>
          <cell r="BY340"/>
          <cell r="BZ340"/>
          <cell r="CA340"/>
          <cell r="CB340"/>
          <cell r="CC340"/>
          <cell r="CD340"/>
          <cell r="CE340"/>
          <cell r="CF340"/>
          <cell r="CG340"/>
          <cell r="CH340"/>
          <cell r="CI340"/>
          <cell r="CJ340"/>
          <cell r="CK340"/>
        </row>
        <row r="341">
          <cell r="C341">
            <v>125</v>
          </cell>
          <cell r="D341" t="str">
            <v>MB275904A</v>
          </cell>
          <cell r="E341" t="str">
            <v xml:space="preserve"> BRKT,TANK RESERVOIR</v>
          </cell>
          <cell r="AI341">
            <v>1</v>
          </cell>
          <cell r="AK341">
            <v>1</v>
          </cell>
          <cell r="AN341">
            <v>1</v>
          </cell>
          <cell r="AP341">
            <v>1</v>
          </cell>
          <cell r="AR341">
            <v>1</v>
          </cell>
          <cell r="AW341">
            <v>1</v>
          </cell>
          <cell r="AX341">
            <v>1</v>
          </cell>
          <cell r="AY341">
            <v>1</v>
          </cell>
          <cell r="AZ341" t="str">
            <v>B</v>
          </cell>
          <cell r="BA341" t="str">
            <v>부전(주)</v>
          </cell>
          <cell r="BB341" t="str">
            <v>H50A14K</v>
          </cell>
          <cell r="BD341" t="str">
            <v>K804</v>
          </cell>
          <cell r="BE341" t="str">
            <v>V6</v>
          </cell>
          <cell r="BI341">
            <v>0</v>
          </cell>
          <cell r="BJ341">
            <v>0</v>
          </cell>
          <cell r="BK341">
            <v>61</v>
          </cell>
          <cell r="BL341">
            <v>46</v>
          </cell>
          <cell r="BM341"/>
          <cell r="BN341"/>
          <cell r="BO341"/>
          <cell r="BP341"/>
          <cell r="BQ341"/>
          <cell r="BR341"/>
          <cell r="BS341"/>
          <cell r="BT341"/>
          <cell r="BU341"/>
          <cell r="BV341"/>
          <cell r="BW341"/>
          <cell r="BX341"/>
          <cell r="BY341"/>
          <cell r="BZ341"/>
          <cell r="CA341"/>
          <cell r="CB341"/>
          <cell r="CC341"/>
          <cell r="CD341"/>
          <cell r="CE341"/>
          <cell r="CF341"/>
          <cell r="CG341"/>
          <cell r="CH341"/>
          <cell r="CI341"/>
          <cell r="CJ341"/>
          <cell r="CK341"/>
        </row>
        <row r="342">
          <cell r="C342">
            <v>124</v>
          </cell>
          <cell r="D342" t="str">
            <v>MB275908</v>
          </cell>
          <cell r="E342" t="str">
            <v xml:space="preserve"> BRKT - PRS A/C</v>
          </cell>
          <cell r="AI342">
            <v>1</v>
          </cell>
          <cell r="AN342">
            <v>1</v>
          </cell>
          <cell r="AP342">
            <v>1</v>
          </cell>
          <cell r="AR342">
            <v>1</v>
          </cell>
          <cell r="AT342">
            <v>1</v>
          </cell>
          <cell r="AW342">
            <v>1</v>
          </cell>
          <cell r="AY342">
            <v>1</v>
          </cell>
          <cell r="AZ342" t="str">
            <v>B</v>
          </cell>
          <cell r="BA342" t="str">
            <v>부전(주)</v>
          </cell>
        </row>
        <row r="343">
          <cell r="C343">
            <v>130</v>
          </cell>
          <cell r="D343" t="str">
            <v>MB275916A</v>
          </cell>
          <cell r="E343" t="str">
            <v xml:space="preserve"> BRKT,OIL COOLER HOSE</v>
          </cell>
          <cell r="W343">
            <v>1</v>
          </cell>
          <cell r="X343">
            <v>1</v>
          </cell>
          <cell r="AE343">
            <v>1</v>
          </cell>
          <cell r="AH343">
            <v>1</v>
          </cell>
          <cell r="AI343">
            <v>1</v>
          </cell>
          <cell r="AN343">
            <v>1</v>
          </cell>
          <cell r="AP343">
            <v>1</v>
          </cell>
          <cell r="AR343">
            <v>1</v>
          </cell>
          <cell r="AT343">
            <v>1</v>
          </cell>
          <cell r="AW343">
            <v>1</v>
          </cell>
          <cell r="AY343">
            <v>1</v>
          </cell>
          <cell r="AZ343" t="str">
            <v>B</v>
          </cell>
          <cell r="BA343" t="str">
            <v>부전(주)</v>
          </cell>
          <cell r="BB343" t="str">
            <v>H50A14K</v>
          </cell>
          <cell r="BD343" t="str">
            <v>K804</v>
          </cell>
          <cell r="BE343" t="str">
            <v>V6</v>
          </cell>
          <cell r="BI343">
            <v>0</v>
          </cell>
          <cell r="BJ343">
            <v>2</v>
          </cell>
          <cell r="BK343">
            <v>60</v>
          </cell>
          <cell r="BL343">
            <v>46</v>
          </cell>
          <cell r="BM343"/>
          <cell r="BN343"/>
          <cell r="BO343"/>
          <cell r="BP343"/>
          <cell r="BQ343"/>
          <cell r="BR343"/>
          <cell r="BS343"/>
          <cell r="BT343"/>
          <cell r="BU343"/>
          <cell r="BV343"/>
          <cell r="BW343"/>
          <cell r="BX343"/>
          <cell r="BY343"/>
          <cell r="BZ343"/>
          <cell r="CA343"/>
          <cell r="CB343"/>
          <cell r="CC343"/>
          <cell r="CD343"/>
          <cell r="CE343"/>
          <cell r="CF343"/>
          <cell r="CG343"/>
          <cell r="CH343"/>
          <cell r="CI343"/>
          <cell r="CJ343"/>
          <cell r="CK343"/>
          <cell r="CL343"/>
          <cell r="CM343"/>
          <cell r="CN343"/>
          <cell r="CO343"/>
          <cell r="CP343"/>
          <cell r="CQ343"/>
        </row>
        <row r="344">
          <cell r="C344">
            <v>3554</v>
          </cell>
          <cell r="D344" t="str">
            <v>MB287795</v>
          </cell>
          <cell r="E344" t="str">
            <v xml:space="preserve"> PLATE,NUT</v>
          </cell>
          <cell r="J344">
            <v>2</v>
          </cell>
          <cell r="K344">
            <v>2</v>
          </cell>
          <cell r="O344">
            <v>2</v>
          </cell>
          <cell r="Q344">
            <v>2</v>
          </cell>
          <cell r="S344">
            <v>2</v>
          </cell>
          <cell r="T344">
            <v>2</v>
          </cell>
          <cell r="X344">
            <v>2</v>
          </cell>
          <cell r="Y344">
            <v>2</v>
          </cell>
          <cell r="Z344">
            <v>2</v>
          </cell>
          <cell r="AA344">
            <v>2</v>
          </cell>
          <cell r="AE344">
            <v>2</v>
          </cell>
          <cell r="AI344">
            <v>2</v>
          </cell>
          <cell r="AK344">
            <v>2</v>
          </cell>
          <cell r="AR344">
            <v>2</v>
          </cell>
          <cell r="AS344">
            <v>2</v>
          </cell>
          <cell r="AT344">
            <v>2</v>
          </cell>
          <cell r="AZ344" t="str">
            <v>B</v>
          </cell>
          <cell r="BA344" t="str">
            <v>부전(주)</v>
          </cell>
          <cell r="BB344" t="str">
            <v>H50A17K</v>
          </cell>
          <cell r="BD344" t="str">
            <v>K804</v>
          </cell>
          <cell r="BI344">
            <v>1736</v>
          </cell>
          <cell r="BJ344">
            <v>916</v>
          </cell>
          <cell r="BK344">
            <v>108</v>
          </cell>
          <cell r="BL344">
            <v>82</v>
          </cell>
          <cell r="BM344"/>
          <cell r="BN344"/>
          <cell r="BO344"/>
          <cell r="BP344"/>
          <cell r="BQ344"/>
          <cell r="BR344"/>
          <cell r="BS344"/>
          <cell r="BT344"/>
          <cell r="BU344"/>
          <cell r="BV344"/>
          <cell r="BW344"/>
          <cell r="BX344"/>
          <cell r="BY344"/>
          <cell r="BZ344"/>
          <cell r="CA344"/>
          <cell r="CB344"/>
          <cell r="CC344"/>
          <cell r="CD344"/>
          <cell r="CE344"/>
          <cell r="CF344"/>
          <cell r="CG344"/>
          <cell r="CH344"/>
          <cell r="CI344"/>
          <cell r="CJ344"/>
          <cell r="CK344"/>
          <cell r="CL344"/>
          <cell r="CM344"/>
          <cell r="CN344"/>
          <cell r="CO344"/>
          <cell r="CP344"/>
          <cell r="CQ344"/>
        </row>
        <row r="345">
          <cell r="C345">
            <v>3784</v>
          </cell>
          <cell r="D345" t="str">
            <v>MB320016B</v>
          </cell>
          <cell r="E345" t="str">
            <v xml:space="preserve"> SUPT,R/DR STAT W/STRIP</v>
          </cell>
          <cell r="I345">
            <v>2</v>
          </cell>
          <cell r="J345">
            <v>2</v>
          </cell>
          <cell r="K345">
            <v>2</v>
          </cell>
          <cell r="O345">
            <v>2</v>
          </cell>
          <cell r="Q345">
            <v>2</v>
          </cell>
          <cell r="S345">
            <v>2</v>
          </cell>
          <cell r="T345">
            <v>2</v>
          </cell>
          <cell r="V345">
            <v>2</v>
          </cell>
          <cell r="X345">
            <v>2</v>
          </cell>
          <cell r="Y345">
            <v>2</v>
          </cell>
          <cell r="Z345">
            <v>2</v>
          </cell>
          <cell r="AA345">
            <v>2</v>
          </cell>
          <cell r="AE345">
            <v>2</v>
          </cell>
          <cell r="AG345">
            <v>2</v>
          </cell>
          <cell r="AI345">
            <v>2</v>
          </cell>
          <cell r="AJ345">
            <v>2</v>
          </cell>
          <cell r="AK345">
            <v>2</v>
          </cell>
          <cell r="AQ345">
            <v>2</v>
          </cell>
          <cell r="AR345">
            <v>2</v>
          </cell>
          <cell r="AS345">
            <v>2</v>
          </cell>
          <cell r="AT345">
            <v>2</v>
          </cell>
          <cell r="AU345">
            <v>2</v>
          </cell>
          <cell r="AV345">
            <v>2</v>
          </cell>
          <cell r="AX345">
            <v>2</v>
          </cell>
          <cell r="AY345">
            <v>2</v>
          </cell>
          <cell r="AZ345" t="str">
            <v>B</v>
          </cell>
          <cell r="BA345" t="str">
            <v>부전(주)</v>
          </cell>
          <cell r="BB345" t="str">
            <v>H50B32K</v>
          </cell>
          <cell r="BD345" t="str">
            <v>K804</v>
          </cell>
          <cell r="BI345">
            <v>1776</v>
          </cell>
          <cell r="BJ345">
            <v>916</v>
          </cell>
          <cell r="BK345">
            <v>180</v>
          </cell>
          <cell r="BL345">
            <v>200</v>
          </cell>
          <cell r="BM345"/>
          <cell r="BN345"/>
          <cell r="BO345"/>
          <cell r="BP345"/>
          <cell r="BQ345"/>
          <cell r="BR345"/>
          <cell r="BS345"/>
          <cell r="BT345"/>
          <cell r="BU345"/>
          <cell r="BV345"/>
          <cell r="BW345"/>
          <cell r="BX345"/>
          <cell r="BY345"/>
          <cell r="BZ345"/>
          <cell r="CA345"/>
          <cell r="CB345"/>
          <cell r="CC345"/>
          <cell r="CD345"/>
          <cell r="CE345"/>
          <cell r="CF345"/>
          <cell r="CG345"/>
          <cell r="CH345"/>
          <cell r="CI345"/>
          <cell r="CJ345"/>
          <cell r="CK345"/>
          <cell r="CL345"/>
          <cell r="CM345"/>
          <cell r="CN345"/>
          <cell r="CO345"/>
          <cell r="CP345"/>
          <cell r="CQ345"/>
        </row>
        <row r="346">
          <cell r="C346">
            <v>1892</v>
          </cell>
          <cell r="D346" t="str">
            <v>MB320019</v>
          </cell>
          <cell r="E346" t="str">
            <v xml:space="preserve"> BRKT,SASH LH</v>
          </cell>
          <cell r="I346">
            <v>1</v>
          </cell>
          <cell r="J346">
            <v>1</v>
          </cell>
          <cell r="K346">
            <v>1</v>
          </cell>
          <cell r="O346">
            <v>1</v>
          </cell>
          <cell r="Q346">
            <v>1</v>
          </cell>
          <cell r="S346">
            <v>1</v>
          </cell>
          <cell r="T346">
            <v>1</v>
          </cell>
          <cell r="V346">
            <v>1</v>
          </cell>
          <cell r="X346">
            <v>1</v>
          </cell>
          <cell r="Y346">
            <v>1</v>
          </cell>
          <cell r="Z346">
            <v>1</v>
          </cell>
          <cell r="AA346">
            <v>1</v>
          </cell>
          <cell r="AE346">
            <v>1</v>
          </cell>
          <cell r="AG346">
            <v>1</v>
          </cell>
          <cell r="AI346">
            <v>1</v>
          </cell>
          <cell r="AJ346">
            <v>1</v>
          </cell>
          <cell r="AK346">
            <v>1</v>
          </cell>
          <cell r="AQ346">
            <v>1</v>
          </cell>
          <cell r="AR346">
            <v>1</v>
          </cell>
          <cell r="AS346">
            <v>1</v>
          </cell>
          <cell r="AT346">
            <v>1</v>
          </cell>
          <cell r="AU346">
            <v>1</v>
          </cell>
          <cell r="AV346">
            <v>1</v>
          </cell>
          <cell r="AX346">
            <v>1</v>
          </cell>
          <cell r="AY346">
            <v>1</v>
          </cell>
          <cell r="AZ346" t="str">
            <v>B</v>
          </cell>
          <cell r="BA346" t="str">
            <v>부전(주)</v>
          </cell>
          <cell r="BB346" t="str">
            <v>H50B32K</v>
          </cell>
          <cell r="BD346" t="str">
            <v>K804</v>
          </cell>
          <cell r="BI346">
            <v>888</v>
          </cell>
          <cell r="BJ346">
            <v>458</v>
          </cell>
          <cell r="BK346">
            <v>90</v>
          </cell>
          <cell r="BL346">
            <v>100</v>
          </cell>
          <cell r="BM346"/>
          <cell r="BN346"/>
          <cell r="BO346"/>
          <cell r="BP346"/>
          <cell r="BQ346"/>
          <cell r="BR346"/>
          <cell r="BS346"/>
          <cell r="BT346"/>
          <cell r="BU346"/>
          <cell r="BV346"/>
          <cell r="BW346"/>
          <cell r="BX346"/>
          <cell r="BY346"/>
          <cell r="BZ346"/>
          <cell r="CA346"/>
          <cell r="CB346"/>
          <cell r="CC346"/>
          <cell r="CD346"/>
          <cell r="CE346"/>
          <cell r="CF346"/>
          <cell r="CG346"/>
          <cell r="CH346"/>
          <cell r="CI346"/>
          <cell r="CJ346"/>
          <cell r="CK346"/>
          <cell r="CL346"/>
          <cell r="CM346"/>
          <cell r="CN346"/>
          <cell r="CO346"/>
          <cell r="CP346"/>
          <cell r="CQ346"/>
        </row>
        <row r="347">
          <cell r="C347">
            <v>1892</v>
          </cell>
          <cell r="D347" t="str">
            <v>MB320020</v>
          </cell>
          <cell r="E347" t="str">
            <v xml:space="preserve"> BRKT SASH RH</v>
          </cell>
          <cell r="I347">
            <v>1</v>
          </cell>
          <cell r="J347">
            <v>1</v>
          </cell>
          <cell r="K347">
            <v>1</v>
          </cell>
          <cell r="O347">
            <v>1</v>
          </cell>
          <cell r="Q347">
            <v>1</v>
          </cell>
          <cell r="S347">
            <v>1</v>
          </cell>
          <cell r="T347">
            <v>1</v>
          </cell>
          <cell r="V347">
            <v>1</v>
          </cell>
          <cell r="X347">
            <v>1</v>
          </cell>
          <cell r="Y347">
            <v>1</v>
          </cell>
          <cell r="Z347">
            <v>1</v>
          </cell>
          <cell r="AA347">
            <v>1</v>
          </cell>
          <cell r="AE347">
            <v>1</v>
          </cell>
          <cell r="AG347">
            <v>1</v>
          </cell>
          <cell r="AI347">
            <v>1</v>
          </cell>
          <cell r="AJ347">
            <v>1</v>
          </cell>
          <cell r="AK347">
            <v>1</v>
          </cell>
          <cell r="AQ347">
            <v>1</v>
          </cell>
          <cell r="AR347">
            <v>1</v>
          </cell>
          <cell r="AS347">
            <v>1</v>
          </cell>
          <cell r="AT347">
            <v>1</v>
          </cell>
          <cell r="AU347">
            <v>1</v>
          </cell>
          <cell r="AV347">
            <v>1</v>
          </cell>
          <cell r="AX347">
            <v>1</v>
          </cell>
          <cell r="AY347">
            <v>1</v>
          </cell>
          <cell r="AZ347" t="str">
            <v>B</v>
          </cell>
          <cell r="BA347" t="str">
            <v>부전(주)</v>
          </cell>
          <cell r="BB347" t="str">
            <v>H50B32K</v>
          </cell>
          <cell r="BD347" t="str">
            <v>K804</v>
          </cell>
          <cell r="BI347">
            <v>888</v>
          </cell>
          <cell r="BJ347">
            <v>458</v>
          </cell>
          <cell r="BK347">
            <v>90</v>
          </cell>
          <cell r="BL347">
            <v>100</v>
          </cell>
          <cell r="BM347"/>
          <cell r="BN347"/>
          <cell r="BO347"/>
          <cell r="BP347"/>
          <cell r="BQ347"/>
          <cell r="BR347"/>
          <cell r="BS347"/>
          <cell r="BT347"/>
          <cell r="BU347"/>
          <cell r="BV347"/>
          <cell r="BW347"/>
          <cell r="BX347"/>
          <cell r="BY347"/>
          <cell r="BZ347"/>
          <cell r="CA347"/>
          <cell r="CB347"/>
          <cell r="CC347"/>
          <cell r="CD347"/>
          <cell r="CE347"/>
          <cell r="CF347"/>
          <cell r="CG347"/>
          <cell r="CH347"/>
          <cell r="CI347"/>
          <cell r="CJ347"/>
          <cell r="CK347"/>
          <cell r="CL347"/>
          <cell r="CM347"/>
          <cell r="CN347"/>
          <cell r="CO347"/>
          <cell r="CP347"/>
          <cell r="CQ347"/>
        </row>
        <row r="348">
          <cell r="C348">
            <v>2534</v>
          </cell>
          <cell r="D348" t="str">
            <v>MB320345</v>
          </cell>
          <cell r="E348" t="str">
            <v xml:space="preserve"> REINF,FRT DR REGULATOR LH</v>
          </cell>
          <cell r="J348">
            <v>1</v>
          </cell>
          <cell r="K348">
            <v>1</v>
          </cell>
          <cell r="L348">
            <v>1</v>
          </cell>
          <cell r="M348">
            <v>1</v>
          </cell>
          <cell r="N348">
            <v>1</v>
          </cell>
          <cell r="O348">
            <v>1</v>
          </cell>
          <cell r="P348">
            <v>1</v>
          </cell>
          <cell r="Q348">
            <v>1</v>
          </cell>
          <cell r="R348">
            <v>1</v>
          </cell>
          <cell r="S348">
            <v>1</v>
          </cell>
          <cell r="T348">
            <v>1</v>
          </cell>
          <cell r="U348">
            <v>1</v>
          </cell>
          <cell r="V348">
            <v>1</v>
          </cell>
          <cell r="W348">
            <v>1</v>
          </cell>
          <cell r="X348">
            <v>1</v>
          </cell>
          <cell r="Y348">
            <v>1</v>
          </cell>
          <cell r="Z348">
            <v>1</v>
          </cell>
          <cell r="AA348">
            <v>1</v>
          </cell>
          <cell r="AB348">
            <v>1</v>
          </cell>
          <cell r="AD348">
            <v>1</v>
          </cell>
          <cell r="AE348">
            <v>1</v>
          </cell>
          <cell r="AH348">
            <v>1</v>
          </cell>
          <cell r="AI348">
            <v>1</v>
          </cell>
          <cell r="AJ348">
            <v>1</v>
          </cell>
          <cell r="AK348">
            <v>1</v>
          </cell>
          <cell r="AL348">
            <v>1</v>
          </cell>
          <cell r="AM348">
            <v>1</v>
          </cell>
          <cell r="AN348">
            <v>1</v>
          </cell>
          <cell r="AO348">
            <v>1</v>
          </cell>
          <cell r="AP348">
            <v>1</v>
          </cell>
          <cell r="AQ348">
            <v>1</v>
          </cell>
          <cell r="AR348">
            <v>1</v>
          </cell>
          <cell r="AS348">
            <v>1</v>
          </cell>
          <cell r="AT348">
            <v>1</v>
          </cell>
          <cell r="AU348">
            <v>1</v>
          </cell>
          <cell r="AV348">
            <v>1</v>
          </cell>
          <cell r="AW348">
            <v>1</v>
          </cell>
          <cell r="AX348">
            <v>1</v>
          </cell>
          <cell r="AY348">
            <v>1</v>
          </cell>
          <cell r="AZ348" t="str">
            <v>B</v>
          </cell>
          <cell r="BA348" t="str">
            <v>부전(주)</v>
          </cell>
          <cell r="BB348" t="str">
            <v>H50B31K</v>
          </cell>
          <cell r="BD348" t="str">
            <v>K804</v>
          </cell>
          <cell r="BI348">
            <v>917</v>
          </cell>
          <cell r="BJ348">
            <v>997</v>
          </cell>
          <cell r="BK348">
            <v>118</v>
          </cell>
          <cell r="BL348">
            <v>102</v>
          </cell>
          <cell r="BM348"/>
          <cell r="BN348"/>
          <cell r="BO348"/>
          <cell r="BP348"/>
          <cell r="BQ348"/>
          <cell r="BR348"/>
          <cell r="BS348"/>
          <cell r="BT348"/>
          <cell r="BU348"/>
          <cell r="BV348"/>
          <cell r="BW348"/>
          <cell r="BX348"/>
          <cell r="BY348"/>
          <cell r="BZ348"/>
          <cell r="CA348"/>
          <cell r="CB348"/>
          <cell r="CC348"/>
          <cell r="CD348"/>
          <cell r="CE348"/>
          <cell r="CF348"/>
          <cell r="CG348"/>
          <cell r="CH348"/>
          <cell r="CI348"/>
          <cell r="CJ348"/>
          <cell r="CK348"/>
          <cell r="CL348"/>
          <cell r="CM348"/>
          <cell r="CN348"/>
          <cell r="CO348"/>
          <cell r="CP348"/>
          <cell r="CQ348"/>
        </row>
        <row r="349">
          <cell r="C349">
            <v>2534</v>
          </cell>
          <cell r="D349" t="str">
            <v>MB320346</v>
          </cell>
          <cell r="E349" t="str">
            <v xml:space="preserve"> REINF,FRT DR REGULATOR RH</v>
          </cell>
          <cell r="J349">
            <v>1</v>
          </cell>
          <cell r="K349">
            <v>1</v>
          </cell>
          <cell r="L349">
            <v>1</v>
          </cell>
          <cell r="M349">
            <v>1</v>
          </cell>
          <cell r="N349">
            <v>1</v>
          </cell>
          <cell r="O349">
            <v>1</v>
          </cell>
          <cell r="P349">
            <v>1</v>
          </cell>
          <cell r="Q349">
            <v>1</v>
          </cell>
          <cell r="R349">
            <v>1</v>
          </cell>
          <cell r="S349">
            <v>1</v>
          </cell>
          <cell r="T349">
            <v>1</v>
          </cell>
          <cell r="U349">
            <v>1</v>
          </cell>
          <cell r="V349">
            <v>1</v>
          </cell>
          <cell r="W349">
            <v>1</v>
          </cell>
          <cell r="X349">
            <v>1</v>
          </cell>
          <cell r="Y349">
            <v>1</v>
          </cell>
          <cell r="Z349">
            <v>1</v>
          </cell>
          <cell r="AA349">
            <v>1</v>
          </cell>
          <cell r="AB349">
            <v>1</v>
          </cell>
          <cell r="AD349">
            <v>1</v>
          </cell>
          <cell r="AE349">
            <v>1</v>
          </cell>
          <cell r="AH349">
            <v>1</v>
          </cell>
          <cell r="AI349">
            <v>1</v>
          </cell>
          <cell r="AJ349">
            <v>1</v>
          </cell>
          <cell r="AK349">
            <v>1</v>
          </cell>
          <cell r="AL349">
            <v>1</v>
          </cell>
          <cell r="AM349">
            <v>1</v>
          </cell>
          <cell r="AN349">
            <v>1</v>
          </cell>
          <cell r="AO349">
            <v>1</v>
          </cell>
          <cell r="AP349">
            <v>1</v>
          </cell>
          <cell r="AQ349">
            <v>1</v>
          </cell>
          <cell r="AR349">
            <v>1</v>
          </cell>
          <cell r="AS349">
            <v>1</v>
          </cell>
          <cell r="AT349">
            <v>1</v>
          </cell>
          <cell r="AU349">
            <v>1</v>
          </cell>
          <cell r="AV349">
            <v>1</v>
          </cell>
          <cell r="AW349">
            <v>1</v>
          </cell>
          <cell r="AX349">
            <v>1</v>
          </cell>
          <cell r="AY349">
            <v>1</v>
          </cell>
          <cell r="AZ349" t="str">
            <v>B</v>
          </cell>
          <cell r="BA349" t="str">
            <v>부전(주)</v>
          </cell>
          <cell r="BB349" t="str">
            <v>H50B31K</v>
          </cell>
          <cell r="BD349" t="str">
            <v>K804</v>
          </cell>
          <cell r="BI349">
            <v>917</v>
          </cell>
          <cell r="BJ349">
            <v>997</v>
          </cell>
          <cell r="BK349">
            <v>118</v>
          </cell>
          <cell r="BL349">
            <v>102</v>
          </cell>
          <cell r="BM349"/>
          <cell r="BN349"/>
          <cell r="BO349"/>
          <cell r="BP349"/>
          <cell r="BQ349"/>
          <cell r="BR349"/>
          <cell r="BS349"/>
          <cell r="BT349"/>
          <cell r="BU349"/>
          <cell r="BV349"/>
          <cell r="BW349"/>
          <cell r="BX349"/>
          <cell r="BY349"/>
          <cell r="BZ349"/>
          <cell r="CA349"/>
          <cell r="CB349"/>
          <cell r="CC349"/>
          <cell r="CD349"/>
          <cell r="CE349"/>
          <cell r="CF349"/>
          <cell r="CG349"/>
          <cell r="CH349"/>
          <cell r="CI349"/>
          <cell r="CJ349"/>
          <cell r="CK349"/>
          <cell r="CL349"/>
          <cell r="CM349"/>
          <cell r="CN349"/>
          <cell r="CO349"/>
          <cell r="CP349"/>
          <cell r="CQ349"/>
        </row>
        <row r="350">
          <cell r="C350">
            <v>3784</v>
          </cell>
          <cell r="D350" t="str">
            <v>MB321099A</v>
          </cell>
          <cell r="E350" t="str">
            <v xml:space="preserve"> ASSY BRKT R/DR WDO CTR SASH</v>
          </cell>
          <cell r="I350">
            <v>2</v>
          </cell>
          <cell r="J350">
            <v>2</v>
          </cell>
          <cell r="K350">
            <v>2</v>
          </cell>
          <cell r="O350">
            <v>2</v>
          </cell>
          <cell r="Q350">
            <v>2</v>
          </cell>
          <cell r="S350">
            <v>2</v>
          </cell>
          <cell r="T350">
            <v>2</v>
          </cell>
          <cell r="V350">
            <v>2</v>
          </cell>
          <cell r="X350">
            <v>2</v>
          </cell>
          <cell r="Y350">
            <v>2</v>
          </cell>
          <cell r="Z350">
            <v>2</v>
          </cell>
          <cell r="AA350">
            <v>2</v>
          </cell>
          <cell r="AE350">
            <v>2</v>
          </cell>
          <cell r="AG350">
            <v>2</v>
          </cell>
          <cell r="AI350">
            <v>2</v>
          </cell>
          <cell r="AJ350">
            <v>2</v>
          </cell>
          <cell r="AK350">
            <v>2</v>
          </cell>
          <cell r="AQ350">
            <v>2</v>
          </cell>
          <cell r="AR350">
            <v>2</v>
          </cell>
          <cell r="AS350">
            <v>2</v>
          </cell>
          <cell r="AT350">
            <v>2</v>
          </cell>
          <cell r="AU350">
            <v>2</v>
          </cell>
          <cell r="AV350">
            <v>2</v>
          </cell>
          <cell r="AX350">
            <v>2</v>
          </cell>
          <cell r="AY350">
            <v>2</v>
          </cell>
          <cell r="AZ350" t="str">
            <v>B</v>
          </cell>
          <cell r="BA350" t="str">
            <v>부전(주)</v>
          </cell>
          <cell r="BB350" t="str">
            <v>H50B32K</v>
          </cell>
          <cell r="BD350" t="str">
            <v>K804</v>
          </cell>
          <cell r="BI350">
            <v>1776</v>
          </cell>
          <cell r="BJ350">
            <v>916</v>
          </cell>
          <cell r="BK350">
            <v>180</v>
          </cell>
          <cell r="BL350">
            <v>200</v>
          </cell>
          <cell r="BM350"/>
          <cell r="BN350"/>
          <cell r="BO350"/>
          <cell r="BP350"/>
          <cell r="BQ350"/>
          <cell r="BR350"/>
          <cell r="BS350"/>
          <cell r="BT350"/>
          <cell r="BU350"/>
          <cell r="BV350"/>
          <cell r="BW350"/>
          <cell r="BX350"/>
          <cell r="BY350"/>
          <cell r="BZ350"/>
          <cell r="CA350"/>
          <cell r="CB350"/>
          <cell r="CC350"/>
          <cell r="CD350"/>
          <cell r="CE350"/>
          <cell r="CF350"/>
          <cell r="CG350"/>
          <cell r="CH350"/>
          <cell r="CI350"/>
          <cell r="CJ350"/>
          <cell r="CK350"/>
          <cell r="CL350"/>
          <cell r="CM350"/>
          <cell r="CN350"/>
          <cell r="CO350"/>
          <cell r="CP350"/>
          <cell r="CQ350"/>
        </row>
        <row r="351">
          <cell r="C351">
            <v>957</v>
          </cell>
          <cell r="D351" t="str">
            <v>MB322342</v>
          </cell>
          <cell r="E351" t="str">
            <v xml:space="preserve"> BRKT,STOPPER</v>
          </cell>
          <cell r="F351" t="str">
            <v>실제V6 ALL</v>
          </cell>
          <cell r="N351">
            <v>1</v>
          </cell>
          <cell r="O351">
            <v>1</v>
          </cell>
          <cell r="P351">
            <v>1</v>
          </cell>
          <cell r="Q351">
            <v>1</v>
          </cell>
          <cell r="W351">
            <v>1</v>
          </cell>
          <cell r="X351">
            <v>1</v>
          </cell>
          <cell r="Z351">
            <v>1</v>
          </cell>
          <cell r="AE351">
            <v>1</v>
          </cell>
          <cell r="AH351">
            <v>1</v>
          </cell>
          <cell r="AI351">
            <v>1</v>
          </cell>
          <cell r="AJ351">
            <v>1</v>
          </cell>
          <cell r="AN351">
            <v>1</v>
          </cell>
          <cell r="AO351">
            <v>1</v>
          </cell>
          <cell r="AP351">
            <v>1</v>
          </cell>
          <cell r="AQ351">
            <v>1</v>
          </cell>
          <cell r="AR351">
            <v>1</v>
          </cell>
          <cell r="AS351">
            <v>1</v>
          </cell>
          <cell r="AT351">
            <v>1</v>
          </cell>
          <cell r="AW351">
            <v>1</v>
          </cell>
          <cell r="AY351">
            <v>1</v>
          </cell>
          <cell r="AZ351" t="str">
            <v>B</v>
          </cell>
          <cell r="BA351" t="str">
            <v>부전(주)</v>
          </cell>
          <cell r="BB351" t="str">
            <v>H50A13K</v>
          </cell>
          <cell r="BC351" t="str">
            <v>HC000149</v>
          </cell>
          <cell r="BD351" t="str">
            <v>K804</v>
          </cell>
          <cell r="BE351" t="str">
            <v>V6,TCI</v>
          </cell>
          <cell r="BI351">
            <v>422</v>
          </cell>
          <cell r="BJ351">
            <v>2</v>
          </cell>
          <cell r="BK351">
            <v>104</v>
          </cell>
          <cell r="BL351">
            <v>99</v>
          </cell>
          <cell r="BM351"/>
          <cell r="BN351"/>
          <cell r="BO351"/>
          <cell r="BP351"/>
          <cell r="BQ351"/>
          <cell r="BR351"/>
          <cell r="BS351"/>
          <cell r="BT351"/>
          <cell r="BU351"/>
          <cell r="BV351"/>
          <cell r="BW351"/>
          <cell r="BX351"/>
          <cell r="BY351"/>
          <cell r="BZ351"/>
          <cell r="CA351"/>
          <cell r="CB351"/>
          <cell r="CC351"/>
          <cell r="CD351"/>
          <cell r="CE351"/>
          <cell r="CF351"/>
          <cell r="CG351"/>
          <cell r="CH351"/>
          <cell r="CI351"/>
          <cell r="CJ351"/>
          <cell r="CK351"/>
          <cell r="CL351"/>
          <cell r="CM351"/>
          <cell r="CN351"/>
          <cell r="CO351"/>
          <cell r="CP351"/>
          <cell r="CQ351"/>
        </row>
        <row r="352">
          <cell r="C352">
            <v>131</v>
          </cell>
          <cell r="D352" t="str">
            <v>MB485941</v>
          </cell>
          <cell r="E352" t="str">
            <v xml:space="preserve"> PLATE GUIDE AIR</v>
          </cell>
          <cell r="F352" t="str">
            <v>-431B</v>
          </cell>
          <cell r="W352">
            <v>1</v>
          </cell>
          <cell r="X352">
            <v>1</v>
          </cell>
          <cell r="AE352">
            <v>1</v>
          </cell>
          <cell r="AH352">
            <v>1</v>
          </cell>
          <cell r="AI352">
            <v>1</v>
          </cell>
          <cell r="AK352">
            <v>1</v>
          </cell>
          <cell r="AN352">
            <v>1</v>
          </cell>
          <cell r="AP352">
            <v>1</v>
          </cell>
          <cell r="AR352">
            <v>1</v>
          </cell>
          <cell r="AT352">
            <v>1</v>
          </cell>
          <cell r="AW352">
            <v>1</v>
          </cell>
          <cell r="AX352">
            <v>1</v>
          </cell>
          <cell r="AY352">
            <v>1</v>
          </cell>
          <cell r="AZ352" t="str">
            <v>T</v>
          </cell>
          <cell r="BA352" t="str">
            <v>부전(주)</v>
          </cell>
          <cell r="BB352" t="str">
            <v>H65J90K</v>
          </cell>
          <cell r="BD352" t="str">
            <v>K804</v>
          </cell>
          <cell r="BE352" t="str">
            <v>V6</v>
          </cell>
          <cell r="BI352" t="e">
            <v>#REF!</v>
          </cell>
          <cell r="BJ352" t="e">
            <v>#REF!</v>
          </cell>
          <cell r="BK352" t="e">
            <v>#REF!</v>
          </cell>
          <cell r="BL352" t="e">
            <v>#REF!</v>
          </cell>
          <cell r="BM352"/>
          <cell r="BN352"/>
          <cell r="BO352"/>
          <cell r="BP352"/>
          <cell r="BQ352"/>
          <cell r="BR352"/>
          <cell r="BS352"/>
          <cell r="BT352"/>
          <cell r="BU352"/>
          <cell r="BV352"/>
          <cell r="BW352"/>
          <cell r="BX352"/>
          <cell r="BY352"/>
          <cell r="BZ352"/>
          <cell r="CA352"/>
          <cell r="CB352"/>
          <cell r="CC352"/>
          <cell r="CD352"/>
          <cell r="CE352"/>
          <cell r="CF352"/>
          <cell r="CG352"/>
          <cell r="CH352"/>
          <cell r="CI352"/>
          <cell r="CJ352"/>
          <cell r="CK352"/>
          <cell r="CL352"/>
          <cell r="CM352"/>
          <cell r="CN352"/>
          <cell r="CO352"/>
          <cell r="CP352"/>
          <cell r="CQ352"/>
        </row>
        <row r="353">
          <cell r="C353">
            <v>2485</v>
          </cell>
          <cell r="D353" t="str">
            <v>MB501386A</v>
          </cell>
          <cell r="E353" t="str">
            <v xml:space="preserve"> BRKT ASSY-OIL PUMP</v>
          </cell>
          <cell r="F353" t="str">
            <v>+561B</v>
          </cell>
          <cell r="I353">
            <v>1</v>
          </cell>
          <cell r="J353">
            <v>1</v>
          </cell>
          <cell r="K353">
            <v>1</v>
          </cell>
          <cell r="M353">
            <v>1</v>
          </cell>
          <cell r="N353">
            <v>1</v>
          </cell>
          <cell r="O353">
            <v>1</v>
          </cell>
          <cell r="P353">
            <v>1</v>
          </cell>
          <cell r="Q353">
            <v>1</v>
          </cell>
          <cell r="R353">
            <v>1</v>
          </cell>
          <cell r="S353">
            <v>1</v>
          </cell>
          <cell r="T353">
            <v>1</v>
          </cell>
          <cell r="AC353">
            <v>1</v>
          </cell>
          <cell r="AD353">
            <v>1</v>
          </cell>
          <cell r="AJ353">
            <v>1</v>
          </cell>
          <cell r="AL353">
            <v>1</v>
          </cell>
          <cell r="AM353">
            <v>1</v>
          </cell>
          <cell r="AO353">
            <v>1</v>
          </cell>
          <cell r="AQ353">
            <v>1</v>
          </cell>
          <cell r="AS353">
            <v>1</v>
          </cell>
          <cell r="AU353">
            <v>1</v>
          </cell>
          <cell r="AY353">
            <v>1</v>
          </cell>
          <cell r="AZ353" t="str">
            <v xml:space="preserve">T </v>
          </cell>
          <cell r="BA353" t="str">
            <v>부전(주)</v>
          </cell>
        </row>
        <row r="354">
          <cell r="C354">
            <v>2584</v>
          </cell>
          <cell r="D354" t="str">
            <v>MB521104A</v>
          </cell>
          <cell r="E354" t="str">
            <v xml:space="preserve"> BRKT,BACKBONE</v>
          </cell>
          <cell r="G354">
            <v>1</v>
          </cell>
          <cell r="AZ354" t="str">
            <v>T</v>
          </cell>
          <cell r="BA354" t="str">
            <v>부전(주)</v>
          </cell>
          <cell r="BB354" t="str">
            <v>H61A90K</v>
          </cell>
          <cell r="BD354" t="str">
            <v>K804</v>
          </cell>
          <cell r="BI354" t="e">
            <v>#REF!</v>
          </cell>
          <cell r="BJ354" t="e">
            <v>#REF!</v>
          </cell>
          <cell r="BK354" t="e">
            <v>#REF!</v>
          </cell>
          <cell r="BL354" t="e">
            <v>#REF!</v>
          </cell>
          <cell r="BM354"/>
          <cell r="BN354"/>
          <cell r="BO354"/>
          <cell r="BP354"/>
          <cell r="BQ354"/>
          <cell r="BR354"/>
          <cell r="BS354"/>
          <cell r="BT354"/>
          <cell r="BU354"/>
          <cell r="BV354"/>
          <cell r="BW354"/>
          <cell r="BX354"/>
          <cell r="BY354"/>
          <cell r="BZ354"/>
          <cell r="CA354"/>
          <cell r="CB354"/>
          <cell r="CC354"/>
          <cell r="CD354"/>
          <cell r="CE354"/>
          <cell r="CF354"/>
          <cell r="CG354"/>
          <cell r="CH354"/>
          <cell r="CI354"/>
          <cell r="CJ354"/>
        </row>
        <row r="355">
          <cell r="C355">
            <v>2584</v>
          </cell>
          <cell r="D355" t="str">
            <v>MB537118A</v>
          </cell>
          <cell r="E355" t="str">
            <v xml:space="preserve"> LWR REINF</v>
          </cell>
          <cell r="G355">
            <v>1</v>
          </cell>
          <cell r="AZ355" t="str">
            <v>B</v>
          </cell>
          <cell r="BA355" t="str">
            <v>부전(주)</v>
          </cell>
          <cell r="BB355" t="str">
            <v>H50B33K</v>
          </cell>
          <cell r="BD355" t="str">
            <v>K804</v>
          </cell>
          <cell r="BE355" t="str">
            <v>ALL</v>
          </cell>
          <cell r="BI355">
            <v>0</v>
          </cell>
          <cell r="BJ355">
            <v>0</v>
          </cell>
          <cell r="BK355">
            <v>0</v>
          </cell>
          <cell r="BL355">
            <v>0</v>
          </cell>
          <cell r="BM355"/>
          <cell r="BN355"/>
          <cell r="BO355"/>
          <cell r="BP355"/>
          <cell r="BQ355"/>
          <cell r="BR355"/>
          <cell r="BS355"/>
          <cell r="BT355"/>
          <cell r="BU355"/>
          <cell r="BV355"/>
          <cell r="BW355"/>
          <cell r="BX355"/>
          <cell r="BY355"/>
          <cell r="BZ355"/>
          <cell r="CA355"/>
          <cell r="CB355"/>
          <cell r="CC355"/>
          <cell r="CD355"/>
          <cell r="CE355"/>
          <cell r="CF355"/>
          <cell r="CG355"/>
          <cell r="CH355"/>
          <cell r="CI355"/>
          <cell r="CJ355"/>
          <cell r="CK355"/>
        </row>
        <row r="356">
          <cell r="C356">
            <v>0</v>
          </cell>
          <cell r="D356" t="str">
            <v>MB553485A</v>
          </cell>
          <cell r="E356" t="str">
            <v xml:space="preserve"> BRKT-P/S OIL PUMP</v>
          </cell>
          <cell r="AZ356" t="str">
            <v>T</v>
          </cell>
          <cell r="BA356" t="str">
            <v>부전(주)</v>
          </cell>
        </row>
        <row r="357">
          <cell r="C357">
            <v>2584</v>
          </cell>
          <cell r="D357" t="str">
            <v>MB573757A</v>
          </cell>
          <cell r="E357" t="str">
            <v xml:space="preserve"> BRKT </v>
          </cell>
          <cell r="I357">
            <v>1</v>
          </cell>
          <cell r="J357">
            <v>1</v>
          </cell>
          <cell r="K357">
            <v>1</v>
          </cell>
          <cell r="M357">
            <v>1</v>
          </cell>
          <cell r="N357">
            <v>1</v>
          </cell>
          <cell r="O357">
            <v>1</v>
          </cell>
          <cell r="P357">
            <v>1</v>
          </cell>
          <cell r="Q357">
            <v>1</v>
          </cell>
          <cell r="R357">
            <v>1</v>
          </cell>
          <cell r="S357">
            <v>1</v>
          </cell>
          <cell r="T357">
            <v>1</v>
          </cell>
          <cell r="W357">
            <v>1</v>
          </cell>
          <cell r="X357">
            <v>1</v>
          </cell>
          <cell r="AC357">
            <v>1</v>
          </cell>
          <cell r="AD357">
            <v>1</v>
          </cell>
          <cell r="AE357">
            <v>1</v>
          </cell>
          <cell r="AH357">
            <v>1</v>
          </cell>
          <cell r="AI357">
            <v>1</v>
          </cell>
          <cell r="AJ357">
            <v>1</v>
          </cell>
          <cell r="AK357">
            <v>1</v>
          </cell>
          <cell r="AL357">
            <v>1</v>
          </cell>
          <cell r="AM357">
            <v>1</v>
          </cell>
          <cell r="AN357">
            <v>1</v>
          </cell>
          <cell r="AO357">
            <v>1</v>
          </cell>
          <cell r="AQ357">
            <v>1</v>
          </cell>
          <cell r="AR357">
            <v>1</v>
          </cell>
          <cell r="AS357">
            <v>1</v>
          </cell>
          <cell r="AU357">
            <v>1</v>
          </cell>
          <cell r="AW357">
            <v>1</v>
          </cell>
          <cell r="AX357">
            <v>1</v>
          </cell>
          <cell r="AY357">
            <v>1</v>
          </cell>
          <cell r="AZ357" t="str">
            <v>T</v>
          </cell>
          <cell r="BA357" t="str">
            <v>부전(주)</v>
          </cell>
        </row>
        <row r="358">
          <cell r="C358">
            <v>1868</v>
          </cell>
          <cell r="D358" t="str">
            <v>MB573782A</v>
          </cell>
          <cell r="E358" t="str">
            <v xml:space="preserve"> CLAMP</v>
          </cell>
          <cell r="M358">
            <v>2</v>
          </cell>
          <cell r="N358">
            <v>2</v>
          </cell>
          <cell r="O358">
            <v>2</v>
          </cell>
          <cell r="P358">
            <v>2</v>
          </cell>
          <cell r="Q358">
            <v>2</v>
          </cell>
          <cell r="W358">
            <v>2</v>
          </cell>
          <cell r="AD358">
            <v>2</v>
          </cell>
          <cell r="AH358">
            <v>2</v>
          </cell>
          <cell r="AI358">
            <v>2</v>
          </cell>
          <cell r="AN358">
            <v>2</v>
          </cell>
          <cell r="AO358">
            <v>2</v>
          </cell>
          <cell r="AR358">
            <v>2</v>
          </cell>
          <cell r="AS358">
            <v>2</v>
          </cell>
          <cell r="AW358">
            <v>2</v>
          </cell>
          <cell r="AY358">
            <v>2</v>
          </cell>
          <cell r="AZ358" t="str">
            <v>T</v>
          </cell>
          <cell r="BA358" t="str">
            <v>부전(주)</v>
          </cell>
        </row>
        <row r="359">
          <cell r="C359">
            <v>2584</v>
          </cell>
          <cell r="D359" t="str">
            <v>MB591203A</v>
          </cell>
          <cell r="E359" t="str">
            <v xml:space="preserve"> REINF,SEAT BELT,RR</v>
          </cell>
          <cell r="G359">
            <v>1</v>
          </cell>
          <cell r="AZ359" t="str">
            <v>B</v>
          </cell>
          <cell r="BA359" t="str">
            <v>부전(주)</v>
          </cell>
          <cell r="BB359" t="str">
            <v>H50A12K</v>
          </cell>
          <cell r="BD359" t="str">
            <v>K804</v>
          </cell>
          <cell r="BE359" t="str">
            <v>ALL</v>
          </cell>
          <cell r="BI359">
            <v>0</v>
          </cell>
          <cell r="BJ359">
            <v>0</v>
          </cell>
          <cell r="BK359">
            <v>0</v>
          </cell>
          <cell r="BL359">
            <v>0</v>
          </cell>
          <cell r="BM359"/>
          <cell r="BN359"/>
          <cell r="BO359"/>
          <cell r="BP359"/>
          <cell r="BQ359"/>
          <cell r="BR359"/>
          <cell r="BS359"/>
          <cell r="BT359"/>
          <cell r="BU359"/>
          <cell r="BV359"/>
          <cell r="BW359"/>
          <cell r="BX359"/>
          <cell r="BY359"/>
          <cell r="BZ359"/>
          <cell r="CA359"/>
          <cell r="CB359"/>
          <cell r="CC359"/>
          <cell r="CD359"/>
          <cell r="CE359"/>
          <cell r="CF359"/>
          <cell r="CG359"/>
          <cell r="CH359"/>
          <cell r="CI359"/>
          <cell r="CJ359"/>
          <cell r="CK359"/>
        </row>
        <row r="360">
          <cell r="C360">
            <v>131</v>
          </cell>
          <cell r="D360" t="str">
            <v>MB591282A</v>
          </cell>
          <cell r="E360" t="str">
            <v xml:space="preserve"> BRKT,SOLENOID VALVE</v>
          </cell>
          <cell r="W360">
            <v>1</v>
          </cell>
          <cell r="X360">
            <v>1</v>
          </cell>
          <cell r="AE360">
            <v>1</v>
          </cell>
          <cell r="AH360">
            <v>1</v>
          </cell>
          <cell r="AI360">
            <v>1</v>
          </cell>
          <cell r="AK360">
            <v>1</v>
          </cell>
          <cell r="AN360">
            <v>1</v>
          </cell>
          <cell r="AP360">
            <v>1</v>
          </cell>
          <cell r="AR360">
            <v>1</v>
          </cell>
          <cell r="AT360">
            <v>1</v>
          </cell>
          <cell r="AW360">
            <v>1</v>
          </cell>
          <cell r="AX360">
            <v>1</v>
          </cell>
          <cell r="AY360">
            <v>1</v>
          </cell>
          <cell r="AZ360" t="str">
            <v>B</v>
          </cell>
          <cell r="BA360" t="str">
            <v>부전(주)</v>
          </cell>
          <cell r="BB360" t="str">
            <v>H50A14K</v>
          </cell>
          <cell r="BD360" t="str">
            <v>K804</v>
          </cell>
          <cell r="BE360" t="str">
            <v>V6</v>
          </cell>
          <cell r="BI360">
            <v>0</v>
          </cell>
          <cell r="BJ360">
            <v>2</v>
          </cell>
          <cell r="BK360">
            <v>61</v>
          </cell>
          <cell r="BL360">
            <v>46</v>
          </cell>
          <cell r="BM360"/>
          <cell r="BN360"/>
          <cell r="BO360"/>
          <cell r="BP360"/>
          <cell r="BQ360"/>
          <cell r="BR360"/>
          <cell r="BS360"/>
          <cell r="BT360"/>
          <cell r="BU360"/>
          <cell r="BV360"/>
          <cell r="BW360"/>
          <cell r="BX360"/>
          <cell r="BY360"/>
          <cell r="BZ360"/>
          <cell r="CA360"/>
          <cell r="CB360"/>
          <cell r="CC360"/>
          <cell r="CD360"/>
          <cell r="CE360"/>
          <cell r="CF360"/>
          <cell r="CG360"/>
          <cell r="CH360"/>
          <cell r="CI360"/>
          <cell r="CJ360"/>
          <cell r="CK360"/>
          <cell r="CL360"/>
          <cell r="CM360"/>
          <cell r="CN360"/>
          <cell r="CO360"/>
          <cell r="CP360"/>
          <cell r="CQ360"/>
        </row>
        <row r="361">
          <cell r="C361">
            <v>2584</v>
          </cell>
          <cell r="D361" t="str">
            <v>MB591309</v>
          </cell>
          <cell r="E361" t="str">
            <v xml:space="preserve"> COVER,RR FLOOR</v>
          </cell>
          <cell r="G361">
            <v>1</v>
          </cell>
          <cell r="AZ361" t="str">
            <v>T</v>
          </cell>
          <cell r="BA361" t="str">
            <v>부전(주)</v>
          </cell>
          <cell r="BB361" t="str">
            <v>H50C90K</v>
          </cell>
          <cell r="BD361" t="str">
            <v>K804</v>
          </cell>
          <cell r="BE361" t="str">
            <v>ALL</v>
          </cell>
          <cell r="BI361" t="e">
            <v>#REF!</v>
          </cell>
          <cell r="BJ361" t="e">
            <v>#REF!</v>
          </cell>
          <cell r="BK361" t="e">
            <v>#REF!</v>
          </cell>
          <cell r="BL361" t="e">
            <v>#REF!</v>
          </cell>
          <cell r="BM361"/>
          <cell r="BN361"/>
          <cell r="BO361"/>
          <cell r="BP361"/>
          <cell r="BQ361"/>
          <cell r="BR361"/>
          <cell r="BS361"/>
          <cell r="BT361"/>
          <cell r="BU361"/>
          <cell r="BV361"/>
          <cell r="BW361"/>
          <cell r="BX361"/>
          <cell r="BY361"/>
          <cell r="BZ361"/>
          <cell r="CA361"/>
          <cell r="CB361"/>
          <cell r="CC361"/>
          <cell r="CD361"/>
          <cell r="CE361"/>
          <cell r="CF361"/>
          <cell r="CG361"/>
          <cell r="CH361"/>
          <cell r="CI361"/>
          <cell r="CJ361"/>
          <cell r="CK361"/>
        </row>
        <row r="362">
          <cell r="C362">
            <v>1892</v>
          </cell>
          <cell r="D362" t="str">
            <v>MB591435</v>
          </cell>
          <cell r="E362" t="str">
            <v xml:space="preserve"> REINF,2ND SEAT RH</v>
          </cell>
          <cell r="I362">
            <v>1</v>
          </cell>
          <cell r="J362">
            <v>1</v>
          </cell>
          <cell r="K362">
            <v>1</v>
          </cell>
          <cell r="O362">
            <v>1</v>
          </cell>
          <cell r="Q362">
            <v>1</v>
          </cell>
          <cell r="S362">
            <v>1</v>
          </cell>
          <cell r="T362">
            <v>1</v>
          </cell>
          <cell r="V362">
            <v>1</v>
          </cell>
          <cell r="X362">
            <v>1</v>
          </cell>
          <cell r="Y362">
            <v>1</v>
          </cell>
          <cell r="Z362">
            <v>1</v>
          </cell>
          <cell r="AA362">
            <v>1</v>
          </cell>
          <cell r="AE362">
            <v>1</v>
          </cell>
          <cell r="AG362">
            <v>1</v>
          </cell>
          <cell r="AI362">
            <v>1</v>
          </cell>
          <cell r="AJ362">
            <v>1</v>
          </cell>
          <cell r="AK362">
            <v>1</v>
          </cell>
          <cell r="AQ362">
            <v>1</v>
          </cell>
          <cell r="AR362">
            <v>1</v>
          </cell>
          <cell r="AS362">
            <v>1</v>
          </cell>
          <cell r="AT362">
            <v>1</v>
          </cell>
          <cell r="AU362">
            <v>1</v>
          </cell>
          <cell r="AV362">
            <v>1</v>
          </cell>
          <cell r="AX362">
            <v>1</v>
          </cell>
          <cell r="AY362">
            <v>1</v>
          </cell>
          <cell r="AZ362" t="str">
            <v>B</v>
          </cell>
          <cell r="BA362" t="str">
            <v>부전(주)</v>
          </cell>
          <cell r="BB362" t="str">
            <v>H50A12K</v>
          </cell>
          <cell r="BD362" t="str">
            <v>K804</v>
          </cell>
          <cell r="BI362">
            <v>888</v>
          </cell>
          <cell r="BJ362">
            <v>458</v>
          </cell>
          <cell r="BK362">
            <v>90</v>
          </cell>
          <cell r="BL362">
            <v>100</v>
          </cell>
          <cell r="BM362"/>
          <cell r="BN362"/>
          <cell r="BO362"/>
          <cell r="BP362"/>
          <cell r="BQ362"/>
          <cell r="BR362"/>
          <cell r="BS362"/>
          <cell r="BT362"/>
          <cell r="BU362"/>
          <cell r="BV362"/>
          <cell r="BW362"/>
          <cell r="BX362"/>
          <cell r="BY362"/>
          <cell r="BZ362"/>
          <cell r="CA362"/>
          <cell r="CB362"/>
          <cell r="CC362"/>
          <cell r="CD362"/>
          <cell r="CE362"/>
          <cell r="CF362"/>
          <cell r="CG362"/>
          <cell r="CH362"/>
          <cell r="CI362"/>
          <cell r="CJ362"/>
          <cell r="CK362"/>
          <cell r="CL362"/>
          <cell r="CM362"/>
          <cell r="CN362"/>
          <cell r="CO362"/>
          <cell r="CP362"/>
          <cell r="CQ362"/>
        </row>
        <row r="363">
          <cell r="C363">
            <v>1892</v>
          </cell>
          <cell r="D363" t="str">
            <v>MB591463</v>
          </cell>
          <cell r="E363" t="str">
            <v xml:space="preserve"> REINF,2ND SEAT BELT,UPR LH</v>
          </cell>
          <cell r="I363">
            <v>1</v>
          </cell>
          <cell r="J363">
            <v>1</v>
          </cell>
          <cell r="K363">
            <v>1</v>
          </cell>
          <cell r="O363">
            <v>1</v>
          </cell>
          <cell r="Q363">
            <v>1</v>
          </cell>
          <cell r="S363">
            <v>1</v>
          </cell>
          <cell r="T363">
            <v>1</v>
          </cell>
          <cell r="V363">
            <v>1</v>
          </cell>
          <cell r="X363">
            <v>1</v>
          </cell>
          <cell r="Y363">
            <v>1</v>
          </cell>
          <cell r="Z363">
            <v>1</v>
          </cell>
          <cell r="AA363">
            <v>1</v>
          </cell>
          <cell r="AE363">
            <v>1</v>
          </cell>
          <cell r="AG363">
            <v>1</v>
          </cell>
          <cell r="AI363">
            <v>1</v>
          </cell>
          <cell r="AJ363">
            <v>1</v>
          </cell>
          <cell r="AK363">
            <v>1</v>
          </cell>
          <cell r="AQ363">
            <v>1</v>
          </cell>
          <cell r="AR363">
            <v>1</v>
          </cell>
          <cell r="AS363">
            <v>1</v>
          </cell>
          <cell r="AT363">
            <v>1</v>
          </cell>
          <cell r="AU363">
            <v>1</v>
          </cell>
          <cell r="AV363">
            <v>1</v>
          </cell>
          <cell r="AX363">
            <v>1</v>
          </cell>
          <cell r="AY363">
            <v>1</v>
          </cell>
          <cell r="AZ363" t="str">
            <v>B</v>
          </cell>
          <cell r="BA363" t="str">
            <v>부전(주)</v>
          </cell>
          <cell r="BB363" t="str">
            <v>H50A17K</v>
          </cell>
          <cell r="BD363" t="str">
            <v>K804</v>
          </cell>
          <cell r="BI363">
            <v>888</v>
          </cell>
          <cell r="BJ363">
            <v>458</v>
          </cell>
          <cell r="BK363">
            <v>90</v>
          </cell>
          <cell r="BL363">
            <v>100</v>
          </cell>
          <cell r="BM363"/>
          <cell r="BN363"/>
          <cell r="BO363"/>
          <cell r="BP363"/>
          <cell r="BQ363"/>
          <cell r="BR363"/>
          <cell r="BS363"/>
          <cell r="BT363"/>
          <cell r="BU363"/>
          <cell r="BV363"/>
          <cell r="BW363"/>
          <cell r="BX363"/>
          <cell r="BY363"/>
          <cell r="BZ363"/>
          <cell r="CA363"/>
          <cell r="CB363"/>
          <cell r="CC363"/>
          <cell r="CD363"/>
          <cell r="CE363"/>
          <cell r="CF363"/>
          <cell r="CG363"/>
          <cell r="CH363"/>
          <cell r="CI363"/>
          <cell r="CJ363"/>
          <cell r="CK363"/>
          <cell r="CL363"/>
          <cell r="CM363"/>
          <cell r="CN363"/>
          <cell r="CO363"/>
          <cell r="CP363"/>
          <cell r="CQ363"/>
        </row>
        <row r="364">
          <cell r="C364">
            <v>1892</v>
          </cell>
          <cell r="D364" t="str">
            <v>MB591464</v>
          </cell>
          <cell r="E364" t="str">
            <v xml:space="preserve"> REINF,2ND SEAT BELT,UPR RH</v>
          </cell>
          <cell r="I364">
            <v>1</v>
          </cell>
          <cell r="J364">
            <v>1</v>
          </cell>
          <cell r="K364">
            <v>1</v>
          </cell>
          <cell r="O364">
            <v>1</v>
          </cell>
          <cell r="Q364">
            <v>1</v>
          </cell>
          <cell r="S364">
            <v>1</v>
          </cell>
          <cell r="T364">
            <v>1</v>
          </cell>
          <cell r="V364">
            <v>1</v>
          </cell>
          <cell r="X364">
            <v>1</v>
          </cell>
          <cell r="Y364">
            <v>1</v>
          </cell>
          <cell r="Z364">
            <v>1</v>
          </cell>
          <cell r="AA364">
            <v>1</v>
          </cell>
          <cell r="AE364">
            <v>1</v>
          </cell>
          <cell r="AG364">
            <v>1</v>
          </cell>
          <cell r="AI364">
            <v>1</v>
          </cell>
          <cell r="AJ364">
            <v>1</v>
          </cell>
          <cell r="AK364">
            <v>1</v>
          </cell>
          <cell r="AQ364">
            <v>1</v>
          </cell>
          <cell r="AR364">
            <v>1</v>
          </cell>
          <cell r="AS364">
            <v>1</v>
          </cell>
          <cell r="AT364">
            <v>1</v>
          </cell>
          <cell r="AU364">
            <v>1</v>
          </cell>
          <cell r="AV364">
            <v>1</v>
          </cell>
          <cell r="AX364">
            <v>1</v>
          </cell>
          <cell r="AY364">
            <v>1</v>
          </cell>
          <cell r="AZ364" t="str">
            <v>B</v>
          </cell>
          <cell r="BA364" t="str">
            <v>부전(주)</v>
          </cell>
          <cell r="BB364" t="str">
            <v>H50A17K</v>
          </cell>
          <cell r="BD364" t="str">
            <v>K804</v>
          </cell>
          <cell r="BI364">
            <v>888</v>
          </cell>
          <cell r="BJ364">
            <v>458</v>
          </cell>
          <cell r="BK364">
            <v>90</v>
          </cell>
          <cell r="BL364">
            <v>100</v>
          </cell>
          <cell r="BM364"/>
          <cell r="BN364"/>
          <cell r="BO364"/>
          <cell r="BP364"/>
          <cell r="BQ364"/>
          <cell r="BR364"/>
          <cell r="BS364"/>
          <cell r="BT364"/>
          <cell r="BU364"/>
          <cell r="BV364"/>
          <cell r="BW364"/>
          <cell r="BX364"/>
          <cell r="BY364"/>
          <cell r="BZ364"/>
          <cell r="CA364"/>
          <cell r="CB364"/>
          <cell r="CC364"/>
          <cell r="CD364"/>
          <cell r="CE364"/>
          <cell r="CF364"/>
          <cell r="CG364"/>
          <cell r="CH364"/>
          <cell r="CI364"/>
          <cell r="CJ364"/>
          <cell r="CK364"/>
          <cell r="CL364"/>
          <cell r="CM364"/>
          <cell r="CN364"/>
          <cell r="CO364"/>
          <cell r="CP364"/>
          <cell r="CQ364"/>
        </row>
        <row r="365">
          <cell r="C365">
            <v>5168</v>
          </cell>
          <cell r="D365" t="str">
            <v>MB591511</v>
          </cell>
          <cell r="E365" t="str">
            <v xml:space="preserve"> PLATE,F/DR SASH</v>
          </cell>
          <cell r="G365">
            <v>2</v>
          </cell>
          <cell r="AZ365" t="str">
            <v>B</v>
          </cell>
          <cell r="BA365" t="str">
            <v>부전(주)</v>
          </cell>
          <cell r="BB365" t="str">
            <v>H50B31K</v>
          </cell>
          <cell r="BD365" t="str">
            <v>K804</v>
          </cell>
          <cell r="BE365" t="str">
            <v>ALL</v>
          </cell>
          <cell r="BI365">
            <v>0</v>
          </cell>
          <cell r="BJ365">
            <v>0</v>
          </cell>
          <cell r="BK365">
            <v>0</v>
          </cell>
          <cell r="BL365">
            <v>0</v>
          </cell>
          <cell r="BM365"/>
          <cell r="BN365"/>
          <cell r="BO365"/>
          <cell r="BP365"/>
          <cell r="BQ365"/>
          <cell r="BR365"/>
          <cell r="BS365"/>
          <cell r="BT365"/>
          <cell r="BU365"/>
          <cell r="BV365"/>
          <cell r="BW365"/>
          <cell r="BX365"/>
          <cell r="BY365"/>
          <cell r="BZ365"/>
          <cell r="CA365"/>
          <cell r="CB365"/>
          <cell r="CC365"/>
          <cell r="CD365"/>
          <cell r="CE365"/>
          <cell r="CF365"/>
          <cell r="CG365"/>
          <cell r="CH365"/>
          <cell r="CI365"/>
          <cell r="CJ365"/>
          <cell r="CK365"/>
        </row>
        <row r="366">
          <cell r="C366">
            <v>1892</v>
          </cell>
          <cell r="D366" t="str">
            <v>MB591603</v>
          </cell>
          <cell r="E366" t="str">
            <v xml:space="preserve"> REINF,FRT PILLAR INR LH</v>
          </cell>
          <cell r="I366">
            <v>1</v>
          </cell>
          <cell r="J366">
            <v>1</v>
          </cell>
          <cell r="K366">
            <v>1</v>
          </cell>
          <cell r="O366">
            <v>1</v>
          </cell>
          <cell r="Q366">
            <v>1</v>
          </cell>
          <cell r="S366">
            <v>1</v>
          </cell>
          <cell r="T366">
            <v>1</v>
          </cell>
          <cell r="V366">
            <v>1</v>
          </cell>
          <cell r="X366">
            <v>1</v>
          </cell>
          <cell r="Y366">
            <v>1</v>
          </cell>
          <cell r="Z366">
            <v>1</v>
          </cell>
          <cell r="AA366">
            <v>1</v>
          </cell>
          <cell r="AE366">
            <v>1</v>
          </cell>
          <cell r="AG366">
            <v>1</v>
          </cell>
          <cell r="AI366">
            <v>1</v>
          </cell>
          <cell r="AJ366">
            <v>1</v>
          </cell>
          <cell r="AK366">
            <v>1</v>
          </cell>
          <cell r="AQ366">
            <v>1</v>
          </cell>
          <cell r="AR366">
            <v>1</v>
          </cell>
          <cell r="AS366">
            <v>1</v>
          </cell>
          <cell r="AT366">
            <v>1</v>
          </cell>
          <cell r="AU366">
            <v>1</v>
          </cell>
          <cell r="AV366">
            <v>1</v>
          </cell>
          <cell r="AX366">
            <v>1</v>
          </cell>
          <cell r="AY366">
            <v>1</v>
          </cell>
          <cell r="AZ366" t="str">
            <v>B</v>
          </cell>
          <cell r="BA366" t="str">
            <v>부전(주)</v>
          </cell>
          <cell r="BB366" t="str">
            <v>H50A16K</v>
          </cell>
          <cell r="BD366" t="str">
            <v>K804</v>
          </cell>
          <cell r="BI366">
            <v>888</v>
          </cell>
          <cell r="BJ366">
            <v>458</v>
          </cell>
          <cell r="BK366">
            <v>90</v>
          </cell>
          <cell r="BL366">
            <v>100</v>
          </cell>
          <cell r="BM366"/>
          <cell r="BN366"/>
          <cell r="BO366"/>
          <cell r="BP366"/>
          <cell r="BQ366"/>
          <cell r="BR366"/>
          <cell r="BS366"/>
          <cell r="BT366"/>
          <cell r="BU366"/>
          <cell r="BV366"/>
          <cell r="BW366"/>
          <cell r="BX366"/>
          <cell r="BY366"/>
          <cell r="BZ366"/>
          <cell r="CA366"/>
          <cell r="CB366"/>
          <cell r="CC366"/>
          <cell r="CD366"/>
          <cell r="CE366"/>
          <cell r="CF366"/>
          <cell r="CG366"/>
          <cell r="CH366"/>
          <cell r="CI366"/>
          <cell r="CJ366"/>
          <cell r="CK366"/>
          <cell r="CL366"/>
          <cell r="CM366"/>
          <cell r="CN366"/>
          <cell r="CO366"/>
          <cell r="CP366"/>
          <cell r="CQ366"/>
        </row>
        <row r="367">
          <cell r="C367">
            <v>1892</v>
          </cell>
          <cell r="D367" t="str">
            <v>MB591604</v>
          </cell>
          <cell r="E367" t="str">
            <v xml:space="preserve"> REINF,FRT PILLAR INR RH</v>
          </cell>
          <cell r="I367">
            <v>1</v>
          </cell>
          <cell r="J367">
            <v>1</v>
          </cell>
          <cell r="K367">
            <v>1</v>
          </cell>
          <cell r="O367">
            <v>1</v>
          </cell>
          <cell r="Q367">
            <v>1</v>
          </cell>
          <cell r="S367">
            <v>1</v>
          </cell>
          <cell r="T367">
            <v>1</v>
          </cell>
          <cell r="V367">
            <v>1</v>
          </cell>
          <cell r="X367">
            <v>1</v>
          </cell>
          <cell r="Y367">
            <v>1</v>
          </cell>
          <cell r="Z367">
            <v>1</v>
          </cell>
          <cell r="AA367">
            <v>1</v>
          </cell>
          <cell r="AE367">
            <v>1</v>
          </cell>
          <cell r="AG367">
            <v>1</v>
          </cell>
          <cell r="AI367">
            <v>1</v>
          </cell>
          <cell r="AJ367">
            <v>1</v>
          </cell>
          <cell r="AK367">
            <v>1</v>
          </cell>
          <cell r="AQ367">
            <v>1</v>
          </cell>
          <cell r="AR367">
            <v>1</v>
          </cell>
          <cell r="AS367">
            <v>1</v>
          </cell>
          <cell r="AT367">
            <v>1</v>
          </cell>
          <cell r="AU367">
            <v>1</v>
          </cell>
          <cell r="AV367">
            <v>1</v>
          </cell>
          <cell r="AX367">
            <v>1</v>
          </cell>
          <cell r="AY367">
            <v>1</v>
          </cell>
          <cell r="AZ367" t="str">
            <v>B</v>
          </cell>
          <cell r="BA367" t="str">
            <v>부전(주)</v>
          </cell>
          <cell r="BB367" t="str">
            <v>H50A16K</v>
          </cell>
          <cell r="BD367" t="str">
            <v>K804</v>
          </cell>
          <cell r="BI367">
            <v>888</v>
          </cell>
          <cell r="BJ367">
            <v>458</v>
          </cell>
          <cell r="BK367">
            <v>90</v>
          </cell>
          <cell r="BL367">
            <v>100</v>
          </cell>
          <cell r="BM367"/>
          <cell r="BN367"/>
          <cell r="BO367"/>
          <cell r="BP367"/>
          <cell r="BQ367"/>
          <cell r="BR367"/>
          <cell r="BS367"/>
          <cell r="BT367"/>
          <cell r="BU367"/>
          <cell r="BV367"/>
          <cell r="BW367"/>
          <cell r="BX367"/>
          <cell r="BY367"/>
          <cell r="BZ367"/>
          <cell r="CA367"/>
          <cell r="CB367"/>
          <cell r="CC367"/>
          <cell r="CD367"/>
          <cell r="CE367"/>
          <cell r="CF367"/>
          <cell r="CG367"/>
          <cell r="CH367"/>
          <cell r="CI367"/>
          <cell r="CJ367"/>
          <cell r="CK367"/>
          <cell r="CL367"/>
          <cell r="CM367"/>
          <cell r="CN367"/>
          <cell r="CO367"/>
          <cell r="CP367"/>
          <cell r="CQ367"/>
        </row>
        <row r="368">
          <cell r="C368">
            <v>1892</v>
          </cell>
          <cell r="D368" t="str">
            <v>MB591605A</v>
          </cell>
          <cell r="E368" t="str">
            <v xml:space="preserve"> REINF ASS'Y,F/SEATBELT,UPR LH</v>
          </cell>
          <cell r="I368">
            <v>1</v>
          </cell>
          <cell r="J368">
            <v>1</v>
          </cell>
          <cell r="K368">
            <v>1</v>
          </cell>
          <cell r="O368">
            <v>1</v>
          </cell>
          <cell r="Q368">
            <v>1</v>
          </cell>
          <cell r="S368">
            <v>1</v>
          </cell>
          <cell r="T368">
            <v>1</v>
          </cell>
          <cell r="V368">
            <v>1</v>
          </cell>
          <cell r="X368">
            <v>1</v>
          </cell>
          <cell r="Y368">
            <v>1</v>
          </cell>
          <cell r="Z368">
            <v>1</v>
          </cell>
          <cell r="AA368">
            <v>1</v>
          </cell>
          <cell r="AE368">
            <v>1</v>
          </cell>
          <cell r="AG368">
            <v>1</v>
          </cell>
          <cell r="AI368">
            <v>1</v>
          </cell>
          <cell r="AJ368">
            <v>1</v>
          </cell>
          <cell r="AK368">
            <v>1</v>
          </cell>
          <cell r="AQ368">
            <v>1</v>
          </cell>
          <cell r="AR368">
            <v>1</v>
          </cell>
          <cell r="AS368">
            <v>1</v>
          </cell>
          <cell r="AT368">
            <v>1</v>
          </cell>
          <cell r="AU368">
            <v>1</v>
          </cell>
          <cell r="AV368">
            <v>1</v>
          </cell>
          <cell r="AX368">
            <v>1</v>
          </cell>
          <cell r="AY368">
            <v>1</v>
          </cell>
          <cell r="AZ368" t="str">
            <v>B</v>
          </cell>
          <cell r="BA368" t="str">
            <v>부전(주)</v>
          </cell>
          <cell r="BB368" t="str">
            <v>H50A17K</v>
          </cell>
          <cell r="BD368" t="str">
            <v>K804</v>
          </cell>
          <cell r="BI368">
            <v>888</v>
          </cell>
          <cell r="BJ368">
            <v>458</v>
          </cell>
          <cell r="BK368">
            <v>90</v>
          </cell>
          <cell r="BL368">
            <v>100</v>
          </cell>
          <cell r="BM368"/>
          <cell r="BN368"/>
          <cell r="BO368"/>
          <cell r="BP368"/>
          <cell r="BQ368"/>
          <cell r="BR368"/>
          <cell r="BS368"/>
          <cell r="BT368"/>
          <cell r="BU368"/>
          <cell r="BV368"/>
          <cell r="BW368"/>
          <cell r="BX368"/>
          <cell r="BY368"/>
          <cell r="BZ368"/>
          <cell r="CA368"/>
          <cell r="CB368"/>
          <cell r="CC368"/>
          <cell r="CD368"/>
          <cell r="CE368"/>
          <cell r="CF368"/>
          <cell r="CG368"/>
          <cell r="CH368"/>
          <cell r="CI368"/>
          <cell r="CJ368"/>
          <cell r="CK368"/>
          <cell r="CL368"/>
          <cell r="CM368"/>
          <cell r="CN368"/>
          <cell r="CO368"/>
          <cell r="CP368"/>
          <cell r="CQ368"/>
        </row>
        <row r="369">
          <cell r="C369">
            <v>1892</v>
          </cell>
          <cell r="D369" t="str">
            <v>MB591606A</v>
          </cell>
          <cell r="E369" t="str">
            <v xml:space="preserve"> REINF ASS'Y,F/SEATBELT,UPR RH</v>
          </cell>
          <cell r="I369">
            <v>1</v>
          </cell>
          <cell r="J369">
            <v>1</v>
          </cell>
          <cell r="K369">
            <v>1</v>
          </cell>
          <cell r="O369">
            <v>1</v>
          </cell>
          <cell r="Q369">
            <v>1</v>
          </cell>
          <cell r="S369">
            <v>1</v>
          </cell>
          <cell r="T369">
            <v>1</v>
          </cell>
          <cell r="V369">
            <v>1</v>
          </cell>
          <cell r="X369">
            <v>1</v>
          </cell>
          <cell r="Y369">
            <v>1</v>
          </cell>
          <cell r="Z369">
            <v>1</v>
          </cell>
          <cell r="AA369">
            <v>1</v>
          </cell>
          <cell r="AE369">
            <v>1</v>
          </cell>
          <cell r="AG369">
            <v>1</v>
          </cell>
          <cell r="AI369">
            <v>1</v>
          </cell>
          <cell r="AJ369">
            <v>1</v>
          </cell>
          <cell r="AK369">
            <v>1</v>
          </cell>
          <cell r="AQ369">
            <v>1</v>
          </cell>
          <cell r="AR369">
            <v>1</v>
          </cell>
          <cell r="AS369">
            <v>1</v>
          </cell>
          <cell r="AT369">
            <v>1</v>
          </cell>
          <cell r="AU369">
            <v>1</v>
          </cell>
          <cell r="AV369">
            <v>1</v>
          </cell>
          <cell r="AX369">
            <v>1</v>
          </cell>
          <cell r="AY369">
            <v>1</v>
          </cell>
          <cell r="AZ369" t="str">
            <v>B</v>
          </cell>
          <cell r="BA369" t="str">
            <v>부전(주)</v>
          </cell>
          <cell r="BB369" t="str">
            <v>H50A17K</v>
          </cell>
          <cell r="BD369" t="str">
            <v>K804</v>
          </cell>
          <cell r="BI369">
            <v>888</v>
          </cell>
          <cell r="BJ369">
            <v>458</v>
          </cell>
          <cell r="BK369">
            <v>90</v>
          </cell>
          <cell r="BL369">
            <v>100</v>
          </cell>
          <cell r="BM369"/>
          <cell r="BN369"/>
          <cell r="BO369"/>
          <cell r="BP369"/>
          <cell r="BQ369"/>
          <cell r="BR369"/>
          <cell r="BS369"/>
          <cell r="BT369"/>
          <cell r="BU369"/>
          <cell r="BV369"/>
          <cell r="BW369"/>
          <cell r="BX369"/>
          <cell r="BY369"/>
          <cell r="BZ369"/>
          <cell r="CA369"/>
          <cell r="CB369"/>
          <cell r="CC369"/>
          <cell r="CD369"/>
          <cell r="CE369"/>
          <cell r="CF369"/>
          <cell r="CG369"/>
          <cell r="CH369"/>
          <cell r="CI369"/>
          <cell r="CJ369"/>
          <cell r="CK369"/>
          <cell r="CL369"/>
          <cell r="CM369"/>
          <cell r="CN369"/>
          <cell r="CO369"/>
          <cell r="CP369"/>
          <cell r="CQ369"/>
        </row>
        <row r="370">
          <cell r="C370">
            <v>1892</v>
          </cell>
          <cell r="D370" t="str">
            <v>MB591627</v>
          </cell>
          <cell r="E370" t="str">
            <v xml:space="preserve"> REINF ASSY R/DR HINGE UPR LH</v>
          </cell>
          <cell r="I370">
            <v>1</v>
          </cell>
          <cell r="J370">
            <v>1</v>
          </cell>
          <cell r="K370">
            <v>1</v>
          </cell>
          <cell r="O370">
            <v>1</v>
          </cell>
          <cell r="Q370">
            <v>1</v>
          </cell>
          <cell r="S370">
            <v>1</v>
          </cell>
          <cell r="T370">
            <v>1</v>
          </cell>
          <cell r="V370">
            <v>1</v>
          </cell>
          <cell r="X370">
            <v>1</v>
          </cell>
          <cell r="Y370">
            <v>1</v>
          </cell>
          <cell r="Z370">
            <v>1</v>
          </cell>
          <cell r="AA370">
            <v>1</v>
          </cell>
          <cell r="AE370">
            <v>1</v>
          </cell>
          <cell r="AG370">
            <v>1</v>
          </cell>
          <cell r="AI370">
            <v>1</v>
          </cell>
          <cell r="AJ370">
            <v>1</v>
          </cell>
          <cell r="AK370">
            <v>1</v>
          </cell>
          <cell r="AQ370">
            <v>1</v>
          </cell>
          <cell r="AR370">
            <v>1</v>
          </cell>
          <cell r="AS370">
            <v>1</v>
          </cell>
          <cell r="AT370">
            <v>1</v>
          </cell>
          <cell r="AU370">
            <v>1</v>
          </cell>
          <cell r="AV370">
            <v>1</v>
          </cell>
          <cell r="AX370">
            <v>1</v>
          </cell>
          <cell r="AY370">
            <v>1</v>
          </cell>
          <cell r="AZ370" t="str">
            <v>B</v>
          </cell>
          <cell r="BA370" t="str">
            <v>부전(주)</v>
          </cell>
          <cell r="BB370" t="str">
            <v>H50A17K</v>
          </cell>
          <cell r="BD370" t="str">
            <v>K804</v>
          </cell>
          <cell r="BI370">
            <v>888</v>
          </cell>
          <cell r="BJ370">
            <v>458</v>
          </cell>
          <cell r="BK370">
            <v>90</v>
          </cell>
          <cell r="BL370">
            <v>100</v>
          </cell>
          <cell r="BM370"/>
          <cell r="BN370"/>
          <cell r="BO370"/>
          <cell r="BP370"/>
          <cell r="BQ370"/>
          <cell r="BR370"/>
          <cell r="BS370"/>
          <cell r="BT370"/>
          <cell r="BU370"/>
          <cell r="BV370"/>
          <cell r="BW370"/>
          <cell r="BX370"/>
          <cell r="BY370"/>
          <cell r="BZ370"/>
          <cell r="CA370"/>
          <cell r="CB370"/>
          <cell r="CC370"/>
          <cell r="CD370"/>
          <cell r="CE370"/>
          <cell r="CF370"/>
          <cell r="CG370"/>
          <cell r="CH370"/>
          <cell r="CI370"/>
          <cell r="CJ370"/>
          <cell r="CK370"/>
          <cell r="CL370"/>
          <cell r="CM370"/>
          <cell r="CN370"/>
          <cell r="CO370"/>
          <cell r="CP370"/>
          <cell r="CQ370"/>
        </row>
        <row r="371">
          <cell r="C371">
            <v>1892</v>
          </cell>
          <cell r="D371" t="str">
            <v>MB591628</v>
          </cell>
          <cell r="E371" t="str">
            <v xml:space="preserve"> REINF ASSY R/DR HINGE UPR RH</v>
          </cell>
          <cell r="I371">
            <v>1</v>
          </cell>
          <cell r="J371">
            <v>1</v>
          </cell>
          <cell r="K371">
            <v>1</v>
          </cell>
          <cell r="O371">
            <v>1</v>
          </cell>
          <cell r="Q371">
            <v>1</v>
          </cell>
          <cell r="S371">
            <v>1</v>
          </cell>
          <cell r="T371">
            <v>1</v>
          </cell>
          <cell r="V371">
            <v>1</v>
          </cell>
          <cell r="X371">
            <v>1</v>
          </cell>
          <cell r="Y371">
            <v>1</v>
          </cell>
          <cell r="Z371">
            <v>1</v>
          </cell>
          <cell r="AA371">
            <v>1</v>
          </cell>
          <cell r="AE371">
            <v>1</v>
          </cell>
          <cell r="AG371">
            <v>1</v>
          </cell>
          <cell r="AI371">
            <v>1</v>
          </cell>
          <cell r="AJ371">
            <v>1</v>
          </cell>
          <cell r="AK371">
            <v>1</v>
          </cell>
          <cell r="AQ371">
            <v>1</v>
          </cell>
          <cell r="AR371">
            <v>1</v>
          </cell>
          <cell r="AS371">
            <v>1</v>
          </cell>
          <cell r="AT371">
            <v>1</v>
          </cell>
          <cell r="AU371">
            <v>1</v>
          </cell>
          <cell r="AV371">
            <v>1</v>
          </cell>
          <cell r="AX371">
            <v>1</v>
          </cell>
          <cell r="AY371">
            <v>1</v>
          </cell>
          <cell r="AZ371" t="str">
            <v>B</v>
          </cell>
          <cell r="BA371" t="str">
            <v>부전(주)</v>
          </cell>
          <cell r="BB371" t="str">
            <v>H50A17K</v>
          </cell>
          <cell r="BD371" t="str">
            <v>K804</v>
          </cell>
          <cell r="BI371">
            <v>888</v>
          </cell>
          <cell r="BJ371">
            <v>458</v>
          </cell>
          <cell r="BK371">
            <v>90</v>
          </cell>
          <cell r="BL371">
            <v>100</v>
          </cell>
          <cell r="BM371"/>
          <cell r="BN371"/>
          <cell r="BO371"/>
          <cell r="BP371"/>
          <cell r="BQ371"/>
          <cell r="BR371"/>
          <cell r="BS371"/>
          <cell r="BT371"/>
          <cell r="BU371"/>
          <cell r="BV371"/>
          <cell r="BW371"/>
          <cell r="BX371"/>
          <cell r="BY371"/>
          <cell r="BZ371"/>
          <cell r="CA371"/>
          <cell r="CB371"/>
          <cell r="CC371"/>
          <cell r="CD371"/>
          <cell r="CE371"/>
          <cell r="CF371"/>
          <cell r="CG371"/>
          <cell r="CH371"/>
          <cell r="CI371"/>
          <cell r="CJ371"/>
          <cell r="CK371"/>
          <cell r="CL371"/>
          <cell r="CM371"/>
          <cell r="CN371"/>
          <cell r="CO371"/>
          <cell r="CP371"/>
          <cell r="CQ371"/>
        </row>
        <row r="372">
          <cell r="C372">
            <v>798</v>
          </cell>
          <cell r="D372" t="str">
            <v>MB591663</v>
          </cell>
          <cell r="E372" t="str">
            <v xml:space="preserve"> REINF,QTR PANEL INR LH</v>
          </cell>
          <cell r="F372" t="str">
            <v>실물V6 LWB</v>
          </cell>
          <cell r="O372">
            <v>1</v>
          </cell>
          <cell r="Q372">
            <v>1</v>
          </cell>
          <cell r="X372">
            <v>1</v>
          </cell>
          <cell r="Z372">
            <v>1</v>
          </cell>
          <cell r="AE372">
            <v>1</v>
          </cell>
          <cell r="AI372">
            <v>1</v>
          </cell>
          <cell r="AR372">
            <v>1</v>
          </cell>
          <cell r="AS372">
            <v>1</v>
          </cell>
          <cell r="AT372">
            <v>1</v>
          </cell>
          <cell r="AZ372" t="str">
            <v>B</v>
          </cell>
          <cell r="BA372" t="str">
            <v>부전(주)</v>
          </cell>
          <cell r="BB372" t="str">
            <v>H50A17K</v>
          </cell>
          <cell r="BD372" t="str">
            <v>K804</v>
          </cell>
          <cell r="BE372" t="str">
            <v>6</v>
          </cell>
          <cell r="BI372">
            <v>397</v>
          </cell>
          <cell r="BJ372">
            <v>2</v>
          </cell>
          <cell r="BK372">
            <v>53</v>
          </cell>
          <cell r="BL372">
            <v>41</v>
          </cell>
          <cell r="BM372"/>
          <cell r="BN372"/>
          <cell r="BO372"/>
          <cell r="BP372"/>
          <cell r="BQ372"/>
          <cell r="BR372"/>
          <cell r="BS372"/>
          <cell r="BT372"/>
          <cell r="BU372"/>
          <cell r="BV372"/>
          <cell r="BW372"/>
          <cell r="BX372"/>
          <cell r="BY372"/>
          <cell r="BZ372"/>
          <cell r="CA372"/>
          <cell r="CB372"/>
          <cell r="CC372"/>
          <cell r="CD372"/>
          <cell r="CE372"/>
          <cell r="CF372"/>
          <cell r="CG372"/>
          <cell r="CH372"/>
          <cell r="CI372"/>
          <cell r="CJ372"/>
          <cell r="CK372"/>
          <cell r="CL372"/>
          <cell r="CM372"/>
          <cell r="CN372"/>
          <cell r="CO372"/>
          <cell r="CP372"/>
          <cell r="CQ372"/>
        </row>
        <row r="373">
          <cell r="C373">
            <v>798</v>
          </cell>
          <cell r="D373" t="str">
            <v>MB591664</v>
          </cell>
          <cell r="E373" t="str">
            <v xml:space="preserve"> REINF,QTR PANEL INR RH</v>
          </cell>
          <cell r="F373" t="str">
            <v>실물V6 LWB</v>
          </cell>
          <cell r="O373">
            <v>1</v>
          </cell>
          <cell r="Q373">
            <v>1</v>
          </cell>
          <cell r="X373">
            <v>1</v>
          </cell>
          <cell r="Z373">
            <v>1</v>
          </cell>
          <cell r="AE373">
            <v>1</v>
          </cell>
          <cell r="AI373">
            <v>1</v>
          </cell>
          <cell r="AR373">
            <v>1</v>
          </cell>
          <cell r="AS373">
            <v>1</v>
          </cell>
          <cell r="AT373">
            <v>1</v>
          </cell>
          <cell r="AZ373" t="str">
            <v>B</v>
          </cell>
          <cell r="BA373" t="str">
            <v>부전(주)</v>
          </cell>
          <cell r="BB373" t="str">
            <v>H50A17K</v>
          </cell>
          <cell r="BD373" t="str">
            <v>K804</v>
          </cell>
          <cell r="BE373" t="str">
            <v>6</v>
          </cell>
          <cell r="BI373">
            <v>397</v>
          </cell>
          <cell r="BJ373">
            <v>2</v>
          </cell>
          <cell r="BK373">
            <v>53</v>
          </cell>
          <cell r="BL373">
            <v>41</v>
          </cell>
          <cell r="BM373"/>
          <cell r="BN373"/>
          <cell r="BO373"/>
          <cell r="BP373"/>
          <cell r="BQ373"/>
          <cell r="BR373"/>
          <cell r="BS373"/>
          <cell r="BT373"/>
          <cell r="BU373"/>
          <cell r="BV373"/>
          <cell r="BW373"/>
          <cell r="BX373"/>
          <cell r="BY373"/>
          <cell r="BZ373"/>
          <cell r="CA373"/>
          <cell r="CB373"/>
          <cell r="CC373"/>
          <cell r="CD373"/>
          <cell r="CE373"/>
          <cell r="CF373"/>
          <cell r="CG373"/>
          <cell r="CH373"/>
          <cell r="CI373"/>
          <cell r="CJ373"/>
          <cell r="CK373"/>
          <cell r="CL373"/>
          <cell r="CM373"/>
          <cell r="CN373"/>
          <cell r="CO373"/>
          <cell r="CP373"/>
          <cell r="CQ373"/>
        </row>
        <row r="374">
          <cell r="C374">
            <v>830</v>
          </cell>
          <cell r="D374" t="str">
            <v>MB591677</v>
          </cell>
          <cell r="E374" t="str">
            <v xml:space="preserve"> BRKT,SEPARATOR TANK</v>
          </cell>
          <cell r="O374">
            <v>1</v>
          </cell>
          <cell r="Q374">
            <v>1</v>
          </cell>
          <cell r="X374">
            <v>1</v>
          </cell>
          <cell r="Z374">
            <v>1</v>
          </cell>
          <cell r="AE374">
            <v>1</v>
          </cell>
          <cell r="AI374">
            <v>1</v>
          </cell>
          <cell r="AR374">
            <v>1</v>
          </cell>
          <cell r="AS374">
            <v>1</v>
          </cell>
          <cell r="AT374">
            <v>1</v>
          </cell>
          <cell r="AY374">
            <v>1</v>
          </cell>
          <cell r="AZ374" t="str">
            <v>B</v>
          </cell>
          <cell r="BA374" t="str">
            <v>부전(주)</v>
          </cell>
          <cell r="BB374" t="str">
            <v>H50A12K</v>
          </cell>
          <cell r="BD374" t="str">
            <v>K804</v>
          </cell>
          <cell r="BE374" t="str">
            <v>6,16,18</v>
          </cell>
          <cell r="BI374">
            <v>397</v>
          </cell>
          <cell r="BJ374">
            <v>2</v>
          </cell>
          <cell r="BK374">
            <v>53</v>
          </cell>
          <cell r="BL374">
            <v>73</v>
          </cell>
          <cell r="BM374"/>
          <cell r="BN374"/>
          <cell r="BO374"/>
          <cell r="BP374"/>
          <cell r="BQ374"/>
          <cell r="BR374"/>
          <cell r="BS374"/>
          <cell r="BT374"/>
          <cell r="BU374"/>
          <cell r="BV374"/>
          <cell r="BW374"/>
          <cell r="BX374"/>
          <cell r="BY374"/>
          <cell r="BZ374"/>
          <cell r="CA374"/>
          <cell r="CB374"/>
          <cell r="CC374"/>
          <cell r="CD374"/>
          <cell r="CE374"/>
          <cell r="CF374"/>
          <cell r="CG374"/>
          <cell r="CH374"/>
          <cell r="CI374"/>
          <cell r="CJ374"/>
          <cell r="CK374"/>
          <cell r="CL374"/>
          <cell r="CM374"/>
          <cell r="CN374"/>
          <cell r="CO374"/>
          <cell r="CP374"/>
          <cell r="CQ374"/>
        </row>
        <row r="375">
          <cell r="C375">
            <v>200</v>
          </cell>
          <cell r="D375" t="str">
            <v>MB591737</v>
          </cell>
          <cell r="E375" t="str">
            <v xml:space="preserve"> COVER,RR FLR EXTENTION(B)</v>
          </cell>
          <cell r="X375">
            <v>2</v>
          </cell>
          <cell r="AE375">
            <v>2</v>
          </cell>
          <cell r="AI375">
            <v>2</v>
          </cell>
          <cell r="AR375">
            <v>2</v>
          </cell>
          <cell r="AT375">
            <v>2</v>
          </cell>
          <cell r="AY375">
            <v>1</v>
          </cell>
          <cell r="AZ375" t="str">
            <v>T</v>
          </cell>
          <cell r="BA375" t="str">
            <v>부전(주)</v>
          </cell>
          <cell r="BB375" t="str">
            <v>H50C90K</v>
          </cell>
          <cell r="BD375" t="str">
            <v>K804</v>
          </cell>
          <cell r="BE375" t="str">
            <v>6</v>
          </cell>
          <cell r="BI375" t="e">
            <v>#REF!</v>
          </cell>
          <cell r="BJ375" t="e">
            <v>#REF!</v>
          </cell>
          <cell r="BK375" t="e">
            <v>#REF!</v>
          </cell>
          <cell r="BL375" t="e">
            <v>#REF!</v>
          </cell>
          <cell r="BM375"/>
          <cell r="BN375"/>
          <cell r="BO375"/>
          <cell r="BP375"/>
          <cell r="BQ375"/>
          <cell r="BR375"/>
          <cell r="BS375"/>
          <cell r="BT375"/>
          <cell r="BU375"/>
          <cell r="BV375"/>
          <cell r="BW375"/>
          <cell r="BX375"/>
          <cell r="BY375"/>
          <cell r="BZ375"/>
          <cell r="CA375"/>
          <cell r="CB375"/>
          <cell r="CC375"/>
          <cell r="CD375"/>
          <cell r="CE375"/>
          <cell r="CF375"/>
          <cell r="CG375"/>
          <cell r="CH375"/>
          <cell r="CI375"/>
          <cell r="CJ375"/>
          <cell r="CK375"/>
          <cell r="CL375"/>
          <cell r="CM375"/>
          <cell r="CN375"/>
          <cell r="CO375"/>
          <cell r="CP375"/>
          <cell r="CQ375"/>
        </row>
        <row r="376">
          <cell r="C376">
            <v>28</v>
          </cell>
          <cell r="D376" t="str">
            <v>MB591739</v>
          </cell>
          <cell r="E376" t="str">
            <v xml:space="preserve"> COVER,RR FLR EXTENTION(A)</v>
          </cell>
          <cell r="W376">
            <v>2</v>
          </cell>
          <cell r="AH376">
            <v>2</v>
          </cell>
          <cell r="AN376">
            <v>2</v>
          </cell>
          <cell r="AP376">
            <v>2</v>
          </cell>
          <cell r="AW376">
            <v>2</v>
          </cell>
          <cell r="AZ376" t="str">
            <v>T</v>
          </cell>
          <cell r="BA376" t="str">
            <v>부전(주)</v>
          </cell>
          <cell r="BB376" t="str">
            <v>H50C90K</v>
          </cell>
          <cell r="BD376" t="str">
            <v>K804</v>
          </cell>
          <cell r="BE376" t="str">
            <v>5,14</v>
          </cell>
          <cell r="BI376" t="e">
            <v>#REF!</v>
          </cell>
          <cell r="BJ376" t="e">
            <v>#REF!</v>
          </cell>
          <cell r="BK376" t="e">
            <v>#REF!</v>
          </cell>
          <cell r="BL376" t="e">
            <v>#REF!</v>
          </cell>
          <cell r="BM376"/>
          <cell r="BN376"/>
          <cell r="BO376"/>
          <cell r="BP376"/>
          <cell r="BQ376"/>
          <cell r="BR376"/>
          <cell r="BS376"/>
          <cell r="BT376"/>
          <cell r="BU376"/>
          <cell r="BV376"/>
          <cell r="BW376"/>
          <cell r="BX376"/>
          <cell r="BY376"/>
          <cell r="BZ376"/>
          <cell r="CA376"/>
          <cell r="CB376"/>
          <cell r="CC376"/>
          <cell r="CD376"/>
          <cell r="CE376"/>
          <cell r="CF376"/>
          <cell r="CG376"/>
          <cell r="CH376"/>
          <cell r="CI376"/>
          <cell r="CJ376"/>
          <cell r="CK376"/>
        </row>
        <row r="377">
          <cell r="C377">
            <v>2584</v>
          </cell>
          <cell r="D377" t="str">
            <v>MB628787A</v>
          </cell>
          <cell r="E377" t="str">
            <v xml:space="preserve"> BRKT,HEATER LH</v>
          </cell>
          <cell r="G377">
            <v>1</v>
          </cell>
          <cell r="AZ377" t="str">
            <v>B</v>
          </cell>
          <cell r="BA377" t="str">
            <v>부전(주)</v>
          </cell>
          <cell r="BB377" t="str">
            <v>H50A18K</v>
          </cell>
          <cell r="BD377" t="str">
            <v>K804</v>
          </cell>
          <cell r="BE377" t="str">
            <v>ALL</v>
          </cell>
          <cell r="BI377">
            <v>0</v>
          </cell>
          <cell r="BJ377">
            <v>0</v>
          </cell>
          <cell r="BK377">
            <v>0</v>
          </cell>
          <cell r="BL377">
            <v>0</v>
          </cell>
          <cell r="BM377"/>
          <cell r="BN377"/>
          <cell r="BO377"/>
          <cell r="BP377"/>
          <cell r="BQ377"/>
          <cell r="BR377"/>
          <cell r="BS377"/>
          <cell r="BT377"/>
          <cell r="BU377"/>
          <cell r="BV377"/>
          <cell r="BW377"/>
          <cell r="BX377"/>
          <cell r="BY377"/>
          <cell r="BZ377"/>
          <cell r="CA377"/>
          <cell r="CB377"/>
          <cell r="CC377"/>
          <cell r="CD377"/>
          <cell r="CE377"/>
          <cell r="CF377"/>
          <cell r="CG377"/>
          <cell r="CH377"/>
          <cell r="CI377"/>
          <cell r="CJ377"/>
          <cell r="CK377"/>
        </row>
        <row r="378">
          <cell r="C378">
            <v>2584</v>
          </cell>
          <cell r="D378" t="str">
            <v>MB628788A</v>
          </cell>
          <cell r="E378" t="str">
            <v xml:space="preserve"> BRKT,HEATER RH</v>
          </cell>
          <cell r="G378">
            <v>1</v>
          </cell>
          <cell r="AZ378" t="str">
            <v>B</v>
          </cell>
          <cell r="BA378" t="str">
            <v>부전(주)</v>
          </cell>
          <cell r="BB378" t="str">
            <v>H50A18K</v>
          </cell>
          <cell r="BD378" t="str">
            <v>K804</v>
          </cell>
          <cell r="BE378" t="str">
            <v>ALL</v>
          </cell>
          <cell r="BI378">
            <v>0</v>
          </cell>
          <cell r="BJ378">
            <v>0</v>
          </cell>
          <cell r="BK378">
            <v>0</v>
          </cell>
          <cell r="BL378">
            <v>0</v>
          </cell>
          <cell r="BM378"/>
          <cell r="BN378"/>
          <cell r="BO378"/>
          <cell r="BP378"/>
          <cell r="BQ378"/>
          <cell r="BR378"/>
          <cell r="BS378"/>
          <cell r="BT378"/>
          <cell r="BU378"/>
          <cell r="BV378"/>
          <cell r="BW378"/>
          <cell r="BX378"/>
          <cell r="BY378"/>
          <cell r="BZ378"/>
          <cell r="CA378"/>
          <cell r="CB378"/>
          <cell r="CC378"/>
          <cell r="CD378"/>
          <cell r="CE378"/>
          <cell r="CF378"/>
          <cell r="CG378"/>
          <cell r="CH378"/>
          <cell r="CI378"/>
          <cell r="CJ378"/>
          <cell r="CK378"/>
        </row>
        <row r="379">
          <cell r="C379">
            <v>0</v>
          </cell>
          <cell r="D379" t="str">
            <v>MB643765</v>
          </cell>
          <cell r="E379" t="str">
            <v xml:space="preserve"> BRKT</v>
          </cell>
          <cell r="AZ379" t="str">
            <v>T</v>
          </cell>
          <cell r="BA379" t="str">
            <v>부전(주)</v>
          </cell>
        </row>
        <row r="380">
          <cell r="C380">
            <v>14120</v>
          </cell>
          <cell r="D380" t="str">
            <v>MT384360A</v>
          </cell>
          <cell r="E380" t="str">
            <v xml:space="preserve"> PLUG FLOOR</v>
          </cell>
          <cell r="H380">
            <v>4</v>
          </cell>
          <cell r="I380">
            <v>6</v>
          </cell>
          <cell r="J380">
            <v>6</v>
          </cell>
          <cell r="K380">
            <v>6</v>
          </cell>
          <cell r="L380">
            <v>4</v>
          </cell>
          <cell r="M380">
            <v>4</v>
          </cell>
          <cell r="N380">
            <v>4</v>
          </cell>
          <cell r="O380">
            <v>6</v>
          </cell>
          <cell r="P380">
            <v>4</v>
          </cell>
          <cell r="Q380">
            <v>6</v>
          </cell>
          <cell r="R380">
            <v>4</v>
          </cell>
          <cell r="S380">
            <v>6</v>
          </cell>
          <cell r="T380">
            <v>6</v>
          </cell>
          <cell r="U380">
            <v>4</v>
          </cell>
          <cell r="V380">
            <v>6</v>
          </cell>
          <cell r="W380">
            <v>4</v>
          </cell>
          <cell r="X380">
            <v>6</v>
          </cell>
          <cell r="Y380">
            <v>6</v>
          </cell>
          <cell r="Z380">
            <v>6</v>
          </cell>
          <cell r="AA380">
            <v>6</v>
          </cell>
          <cell r="AB380">
            <v>4</v>
          </cell>
          <cell r="AC380">
            <v>4</v>
          </cell>
          <cell r="AD380">
            <v>4</v>
          </cell>
          <cell r="AE380">
            <v>6</v>
          </cell>
          <cell r="AF380">
            <v>4</v>
          </cell>
          <cell r="AG380">
            <v>6</v>
          </cell>
          <cell r="AH380">
            <v>4</v>
          </cell>
          <cell r="AI380">
            <v>6</v>
          </cell>
          <cell r="AJ380">
            <v>6</v>
          </cell>
          <cell r="AK380">
            <v>6</v>
          </cell>
          <cell r="AL380">
            <v>4</v>
          </cell>
          <cell r="AM380">
            <v>4</v>
          </cell>
          <cell r="AN380">
            <v>4</v>
          </cell>
          <cell r="AO380">
            <v>4</v>
          </cell>
          <cell r="AP380">
            <v>4</v>
          </cell>
          <cell r="AQ380">
            <v>6</v>
          </cell>
          <cell r="AR380">
            <v>6</v>
          </cell>
          <cell r="AS380">
            <v>6</v>
          </cell>
          <cell r="AT380">
            <v>6</v>
          </cell>
          <cell r="AU380">
            <v>6</v>
          </cell>
          <cell r="AV380">
            <v>6</v>
          </cell>
          <cell r="AW380">
            <v>4</v>
          </cell>
          <cell r="AX380">
            <v>6</v>
          </cell>
          <cell r="AY380">
            <v>6</v>
          </cell>
          <cell r="AZ380" t="str">
            <v>T</v>
          </cell>
          <cell r="BA380" t="str">
            <v>부전(주)</v>
          </cell>
          <cell r="BB380" t="str">
            <v>H53A90K</v>
          </cell>
          <cell r="BD380" t="str">
            <v>K804</v>
          </cell>
          <cell r="BI380" t="e">
            <v>#REF!</v>
          </cell>
          <cell r="BJ380" t="e">
            <v>#REF!</v>
          </cell>
          <cell r="BK380" t="e">
            <v>#REF!</v>
          </cell>
          <cell r="BL380" t="e">
            <v>#REF!</v>
          </cell>
          <cell r="BM380"/>
          <cell r="BN380"/>
          <cell r="BO380"/>
          <cell r="BP380"/>
          <cell r="BQ380"/>
          <cell r="BR380"/>
          <cell r="BS380"/>
          <cell r="BT380"/>
          <cell r="BU380"/>
          <cell r="BV380"/>
          <cell r="BW380"/>
          <cell r="BX380"/>
          <cell r="BY380"/>
          <cell r="BZ380"/>
          <cell r="CA380"/>
          <cell r="CB380"/>
          <cell r="CC380"/>
          <cell r="CD380"/>
          <cell r="CE380"/>
          <cell r="CF380"/>
          <cell r="CG380"/>
          <cell r="CH380"/>
          <cell r="CI380"/>
          <cell r="CJ380"/>
        </row>
        <row r="381">
          <cell r="C381">
            <v>130</v>
          </cell>
          <cell r="D381" t="str">
            <v>XB275902A</v>
          </cell>
          <cell r="E381" t="str">
            <v xml:space="preserve"> BRKT,CLUTCH HOSE</v>
          </cell>
          <cell r="F381" t="str">
            <v>-431B</v>
          </cell>
          <cell r="X381">
            <v>1</v>
          </cell>
          <cell r="AE381">
            <v>1</v>
          </cell>
          <cell r="AH381">
            <v>1</v>
          </cell>
          <cell r="AI381">
            <v>1</v>
          </cell>
          <cell r="AN381">
            <v>1</v>
          </cell>
          <cell r="AP381">
            <v>1</v>
          </cell>
          <cell r="AR381">
            <v>1</v>
          </cell>
          <cell r="AT381">
            <v>1</v>
          </cell>
          <cell r="AW381">
            <v>1</v>
          </cell>
          <cell r="AY381">
            <v>1</v>
          </cell>
          <cell r="AZ381" t="str">
            <v>B</v>
          </cell>
          <cell r="BA381" t="str">
            <v>부전(주)</v>
          </cell>
          <cell r="BB381" t="str">
            <v>H50A13K</v>
          </cell>
          <cell r="BC381" t="str">
            <v>MB591486A</v>
          </cell>
          <cell r="BD381" t="str">
            <v>K804</v>
          </cell>
          <cell r="BE381" t="str">
            <v>5,6</v>
          </cell>
          <cell r="BI381">
            <v>0</v>
          </cell>
          <cell r="BJ381">
            <v>2</v>
          </cell>
          <cell r="BK381">
            <v>60</v>
          </cell>
          <cell r="BL381">
            <v>46</v>
          </cell>
          <cell r="BM381"/>
          <cell r="BN381"/>
          <cell r="BO381"/>
          <cell r="BP381"/>
          <cell r="BQ381"/>
          <cell r="BR381"/>
          <cell r="BS381"/>
          <cell r="BT381"/>
          <cell r="BU381"/>
          <cell r="BV381"/>
          <cell r="BW381"/>
          <cell r="BX381"/>
          <cell r="BY381"/>
          <cell r="BZ381"/>
          <cell r="CA381"/>
          <cell r="CB381"/>
          <cell r="CC381"/>
          <cell r="CD381"/>
          <cell r="CE381"/>
          <cell r="CF381"/>
          <cell r="CG381"/>
          <cell r="CH381"/>
          <cell r="CI381"/>
          <cell r="CJ381"/>
          <cell r="CK381"/>
          <cell r="CL381"/>
          <cell r="CM381"/>
          <cell r="CN381"/>
          <cell r="CO381"/>
          <cell r="CP381"/>
          <cell r="CQ381"/>
        </row>
        <row r="382">
          <cell r="C382">
            <v>2337</v>
          </cell>
          <cell r="D382" t="str">
            <v>XB591236</v>
          </cell>
          <cell r="E382" t="str">
            <v xml:space="preserve"> REINF,DUCT</v>
          </cell>
          <cell r="F382" t="str">
            <v>-651A</v>
          </cell>
          <cell r="H382">
            <v>1</v>
          </cell>
          <cell r="I382">
            <v>1</v>
          </cell>
          <cell r="J382">
            <v>1</v>
          </cell>
          <cell r="K382">
            <v>1</v>
          </cell>
          <cell r="L382">
            <v>1</v>
          </cell>
          <cell r="M382">
            <v>1</v>
          </cell>
          <cell r="N382">
            <v>1</v>
          </cell>
          <cell r="O382">
            <v>1</v>
          </cell>
          <cell r="P382">
            <v>1</v>
          </cell>
          <cell r="Q382">
            <v>1</v>
          </cell>
          <cell r="R382">
            <v>1</v>
          </cell>
          <cell r="S382">
            <v>1</v>
          </cell>
          <cell r="T382">
            <v>1</v>
          </cell>
          <cell r="U382">
            <v>1</v>
          </cell>
          <cell r="V382">
            <v>1</v>
          </cell>
          <cell r="W382">
            <v>1</v>
          </cell>
          <cell r="X382">
            <v>1</v>
          </cell>
          <cell r="Y382">
            <v>1</v>
          </cell>
          <cell r="Z382">
            <v>1</v>
          </cell>
          <cell r="AA382">
            <v>1</v>
          </cell>
          <cell r="AB382">
            <v>1</v>
          </cell>
          <cell r="AC382">
            <v>1</v>
          </cell>
          <cell r="AD382">
            <v>1</v>
          </cell>
          <cell r="AE382">
            <v>1</v>
          </cell>
          <cell r="AH382">
            <v>1</v>
          </cell>
          <cell r="AZ382" t="str">
            <v>B</v>
          </cell>
          <cell r="BA382" t="str">
            <v>부전(주)</v>
          </cell>
          <cell r="BB382" t="str">
            <v>H50A14K</v>
          </cell>
          <cell r="BD382" t="str">
            <v>K804</v>
          </cell>
          <cell r="BE382" t="str">
            <v>ALL</v>
          </cell>
          <cell r="BI382">
            <v>937</v>
          </cell>
          <cell r="BJ382">
            <v>997</v>
          </cell>
          <cell r="BK382">
            <v>0</v>
          </cell>
          <cell r="BL382">
            <v>0</v>
          </cell>
          <cell r="BM382"/>
          <cell r="BN382"/>
          <cell r="BO382"/>
          <cell r="BP382"/>
          <cell r="BQ382"/>
          <cell r="BR382"/>
          <cell r="BS382"/>
          <cell r="BT382"/>
          <cell r="BU382"/>
          <cell r="BV382"/>
          <cell r="BW382"/>
          <cell r="BX382"/>
          <cell r="BY382"/>
          <cell r="BZ382"/>
          <cell r="CA382"/>
          <cell r="CB382"/>
          <cell r="CC382"/>
          <cell r="CD382"/>
          <cell r="CE382"/>
          <cell r="CF382"/>
          <cell r="CG382"/>
          <cell r="CH382"/>
          <cell r="CI382"/>
          <cell r="CJ382"/>
          <cell r="CK382"/>
          <cell r="CL382"/>
          <cell r="CM382"/>
          <cell r="CN382"/>
          <cell r="CO382"/>
          <cell r="CP382"/>
          <cell r="CQ382"/>
        </row>
        <row r="383">
          <cell r="C383">
            <v>2714</v>
          </cell>
          <cell r="D383" t="str">
            <v>XB591239A</v>
          </cell>
          <cell r="E383" t="str">
            <v xml:space="preserve"> REINF,CONDENSER</v>
          </cell>
          <cell r="F383" t="str">
            <v>D/C</v>
          </cell>
          <cell r="J383">
            <v>2</v>
          </cell>
          <cell r="K383">
            <v>2</v>
          </cell>
          <cell r="O383">
            <v>2</v>
          </cell>
          <cell r="Q383">
            <v>2</v>
          </cell>
          <cell r="X383">
            <v>2</v>
          </cell>
          <cell r="AE383">
            <v>2</v>
          </cell>
          <cell r="AI383">
            <v>2</v>
          </cell>
          <cell r="AJ383">
            <v>2</v>
          </cell>
          <cell r="AQ383">
            <v>2</v>
          </cell>
          <cell r="AR383">
            <v>2</v>
          </cell>
          <cell r="AS383">
            <v>2</v>
          </cell>
          <cell r="AT383">
            <v>2</v>
          </cell>
          <cell r="AZ383" t="str">
            <v>B</v>
          </cell>
          <cell r="BA383" t="str">
            <v>부전(주)</v>
          </cell>
          <cell r="BB383" t="str">
            <v>H50A15K</v>
          </cell>
          <cell r="BD383" t="str">
            <v>K804</v>
          </cell>
          <cell r="BI383">
            <v>1736</v>
          </cell>
          <cell r="BJ383">
            <v>4</v>
          </cell>
          <cell r="BK383">
            <v>178</v>
          </cell>
          <cell r="BL383">
            <v>130</v>
          </cell>
          <cell r="BM383"/>
          <cell r="BN383"/>
          <cell r="BO383"/>
          <cell r="BP383"/>
          <cell r="BQ383"/>
          <cell r="BR383"/>
          <cell r="BS383"/>
          <cell r="BT383"/>
          <cell r="BU383"/>
          <cell r="BV383"/>
          <cell r="BW383"/>
          <cell r="BX383"/>
          <cell r="BY383"/>
          <cell r="BZ383"/>
          <cell r="CA383"/>
          <cell r="CB383"/>
          <cell r="CC383"/>
          <cell r="CD383"/>
          <cell r="CE383"/>
          <cell r="CF383"/>
          <cell r="CG383"/>
          <cell r="CH383"/>
          <cell r="CI383"/>
          <cell r="CJ383"/>
          <cell r="CK383"/>
          <cell r="CL383"/>
          <cell r="CM383"/>
          <cell r="CN383"/>
          <cell r="CO383"/>
          <cell r="CP383"/>
          <cell r="CQ383"/>
        </row>
        <row r="384">
          <cell r="C384">
            <v>72</v>
          </cell>
          <cell r="D384" t="str">
            <v>XB591486A</v>
          </cell>
          <cell r="E384" t="str">
            <v xml:space="preserve"> BRKT,HOSE</v>
          </cell>
          <cell r="W384">
            <v>1</v>
          </cell>
          <cell r="X384">
            <v>1</v>
          </cell>
          <cell r="AE384">
            <v>1</v>
          </cell>
          <cell r="AH384">
            <v>1</v>
          </cell>
          <cell r="AI384">
            <v>1</v>
          </cell>
          <cell r="AZ384" t="str">
            <v>B</v>
          </cell>
          <cell r="BA384" t="str">
            <v>부전(주)</v>
          </cell>
          <cell r="BB384" t="str">
            <v>H50A13K</v>
          </cell>
          <cell r="BD384" t="str">
            <v>K804</v>
          </cell>
          <cell r="BE384" t="str">
            <v>V6</v>
          </cell>
          <cell r="BI384">
            <v>0</v>
          </cell>
          <cell r="BJ384">
            <v>2</v>
          </cell>
          <cell r="BK384">
            <v>53</v>
          </cell>
          <cell r="BL384">
            <v>0</v>
          </cell>
          <cell r="BM384"/>
          <cell r="BN384"/>
          <cell r="BO384"/>
          <cell r="BP384"/>
          <cell r="BQ384"/>
          <cell r="BR384"/>
          <cell r="BS384"/>
          <cell r="BT384"/>
          <cell r="BU384"/>
          <cell r="BV384"/>
          <cell r="BW384"/>
          <cell r="BX384"/>
          <cell r="BY384"/>
          <cell r="BZ384"/>
          <cell r="CA384"/>
          <cell r="CB384"/>
          <cell r="CC384"/>
          <cell r="CD384"/>
          <cell r="CE384"/>
          <cell r="CF384"/>
          <cell r="CG384"/>
          <cell r="CH384"/>
          <cell r="CI384"/>
          <cell r="CJ384"/>
          <cell r="CK384"/>
          <cell r="CL384"/>
          <cell r="CM384"/>
          <cell r="CN384"/>
          <cell r="CO384"/>
          <cell r="CP384"/>
          <cell r="CQ384"/>
        </row>
        <row r="385">
          <cell r="C385">
            <v>3951</v>
          </cell>
          <cell r="D385" t="str">
            <v>XB609082A</v>
          </cell>
          <cell r="E385" t="str">
            <v xml:space="preserve"> BRKT</v>
          </cell>
          <cell r="F385" t="str">
            <v>(유상사급)+972B</v>
          </cell>
          <cell r="J385">
            <v>3</v>
          </cell>
          <cell r="K385">
            <v>3</v>
          </cell>
          <cell r="O385">
            <v>3</v>
          </cell>
          <cell r="Q385">
            <v>3</v>
          </cell>
          <cell r="V385">
            <v>3</v>
          </cell>
          <cell r="X385">
            <v>3</v>
          </cell>
          <cell r="Z385">
            <v>3</v>
          </cell>
          <cell r="AE385">
            <v>3</v>
          </cell>
          <cell r="AI385">
            <v>3</v>
          </cell>
          <cell r="AK385">
            <v>3</v>
          </cell>
          <cell r="AN385">
            <v>3</v>
          </cell>
          <cell r="AQ385">
            <v>3</v>
          </cell>
          <cell r="AS385">
            <v>3</v>
          </cell>
          <cell r="AT385">
            <v>3</v>
          </cell>
          <cell r="AZ385" t="str">
            <v>B</v>
          </cell>
          <cell r="BA385" t="str">
            <v>부전(주)</v>
          </cell>
          <cell r="BB385" t="str">
            <v>H50A11K</v>
          </cell>
          <cell r="BD385" t="str">
            <v>K804</v>
          </cell>
          <cell r="BI385">
            <v>2604</v>
          </cell>
          <cell r="BJ385">
            <v>6</v>
          </cell>
          <cell r="BK385">
            <v>183</v>
          </cell>
          <cell r="BL385">
            <v>159</v>
          </cell>
          <cell r="BM385"/>
          <cell r="BN385"/>
          <cell r="BO385"/>
          <cell r="BP385"/>
          <cell r="BQ385"/>
          <cell r="BR385"/>
          <cell r="BS385"/>
          <cell r="BT385"/>
          <cell r="BU385"/>
          <cell r="BV385"/>
          <cell r="BW385"/>
          <cell r="BX385"/>
          <cell r="BY385"/>
          <cell r="BZ385"/>
          <cell r="CA385"/>
          <cell r="CB385"/>
          <cell r="CC385"/>
          <cell r="CD385"/>
          <cell r="CE385"/>
          <cell r="CF385"/>
          <cell r="CG385"/>
          <cell r="CH385"/>
          <cell r="CI385"/>
          <cell r="CJ385"/>
          <cell r="CK385"/>
          <cell r="CL385"/>
          <cell r="CM385"/>
          <cell r="CN385"/>
          <cell r="CO385"/>
          <cell r="CP385"/>
          <cell r="CQ385"/>
        </row>
        <row r="386">
          <cell r="C386">
            <v>1354</v>
          </cell>
          <cell r="D386" t="str">
            <v>HC000064</v>
          </cell>
          <cell r="E386" t="str">
            <v xml:space="preserve"> BRKT,ROOM LAMP EXT</v>
          </cell>
          <cell r="J386">
            <v>1</v>
          </cell>
          <cell r="K386">
            <v>1</v>
          </cell>
          <cell r="O386">
            <v>1</v>
          </cell>
          <cell r="Q386">
            <v>1</v>
          </cell>
          <cell r="V386">
            <v>1</v>
          </cell>
          <cell r="X386">
            <v>1</v>
          </cell>
          <cell r="AE386">
            <v>1</v>
          </cell>
          <cell r="AI386">
            <v>1</v>
          </cell>
          <cell r="AK386">
            <v>1</v>
          </cell>
          <cell r="AQ386">
            <v>1</v>
          </cell>
          <cell r="AR386">
            <v>1</v>
          </cell>
          <cell r="AS386">
            <v>1</v>
          </cell>
          <cell r="AT386">
            <v>1</v>
          </cell>
          <cell r="AY386">
            <v>1</v>
          </cell>
          <cell r="AZ386" t="str">
            <v>T</v>
          </cell>
          <cell r="BA386" t="str">
            <v>삼아</v>
          </cell>
          <cell r="BB386" t="str">
            <v>H50C90K</v>
          </cell>
          <cell r="BD386" t="str">
            <v>D981</v>
          </cell>
          <cell r="BE386" t="str">
            <v>KICK UPJOB#1</v>
          </cell>
          <cell r="BI386" t="e">
            <v>#REF!</v>
          </cell>
          <cell r="BJ386" t="e">
            <v>#REF!</v>
          </cell>
          <cell r="BK386" t="e">
            <v>#REF!</v>
          </cell>
          <cell r="BL386" t="e">
            <v>#REF!</v>
          </cell>
          <cell r="BM386"/>
          <cell r="BN386"/>
          <cell r="BO386"/>
          <cell r="BP386"/>
          <cell r="BQ386"/>
          <cell r="BR386"/>
          <cell r="BS386"/>
          <cell r="BT386"/>
          <cell r="BU386"/>
          <cell r="BV386"/>
          <cell r="BW386"/>
          <cell r="BX386"/>
          <cell r="BY386"/>
          <cell r="BZ386"/>
          <cell r="CA386"/>
          <cell r="CB386"/>
          <cell r="CC386"/>
          <cell r="CD386"/>
          <cell r="CE386"/>
          <cell r="CF386"/>
          <cell r="CG386"/>
          <cell r="CH386"/>
          <cell r="CI386"/>
          <cell r="CJ386"/>
          <cell r="CK386"/>
          <cell r="CL386"/>
          <cell r="CM386"/>
          <cell r="CN386"/>
          <cell r="CO386"/>
          <cell r="CP386"/>
          <cell r="CQ386"/>
        </row>
        <row r="387">
          <cell r="C387">
            <v>2454</v>
          </cell>
          <cell r="D387" t="str">
            <v>HC000098</v>
          </cell>
          <cell r="E387" t="str">
            <v xml:space="preserve"> EXTENTION,FENDER SHIELD LH</v>
          </cell>
          <cell r="H387">
            <v>1</v>
          </cell>
          <cell r="I387">
            <v>1</v>
          </cell>
          <cell r="J387">
            <v>1</v>
          </cell>
          <cell r="K387">
            <v>1</v>
          </cell>
          <cell r="L387">
            <v>1</v>
          </cell>
          <cell r="M387">
            <v>1</v>
          </cell>
          <cell r="N387">
            <v>1</v>
          </cell>
          <cell r="O387">
            <v>1</v>
          </cell>
          <cell r="P387">
            <v>1</v>
          </cell>
          <cell r="Q387">
            <v>1</v>
          </cell>
          <cell r="R387">
            <v>1</v>
          </cell>
          <cell r="S387">
            <v>1</v>
          </cell>
          <cell r="T387">
            <v>1</v>
          </cell>
          <cell r="U387">
            <v>1</v>
          </cell>
          <cell r="V387">
            <v>1</v>
          </cell>
          <cell r="Y387">
            <v>1</v>
          </cell>
          <cell r="Z387">
            <v>1</v>
          </cell>
          <cell r="AA387">
            <v>1</v>
          </cell>
          <cell r="AB387">
            <v>1</v>
          </cell>
          <cell r="AC387">
            <v>1</v>
          </cell>
          <cell r="AD387">
            <v>1</v>
          </cell>
          <cell r="AF387">
            <v>1</v>
          </cell>
          <cell r="AG387">
            <v>1</v>
          </cell>
          <cell r="AH387"/>
          <cell r="AI387"/>
          <cell r="AJ387">
            <v>1</v>
          </cell>
          <cell r="AK387">
            <v>1</v>
          </cell>
          <cell r="AL387">
            <v>1</v>
          </cell>
          <cell r="AM387">
            <v>1</v>
          </cell>
          <cell r="AN387"/>
          <cell r="AO387">
            <v>1</v>
          </cell>
          <cell r="AP387"/>
          <cell r="AQ387">
            <v>1</v>
          </cell>
          <cell r="AR387"/>
          <cell r="AS387">
            <v>1</v>
          </cell>
          <cell r="AT387"/>
          <cell r="AU387">
            <v>1</v>
          </cell>
          <cell r="AV387">
            <v>1</v>
          </cell>
          <cell r="AW387"/>
          <cell r="AX387">
            <v>1</v>
          </cell>
          <cell r="AY387"/>
          <cell r="AZ387" t="str">
            <v>B</v>
          </cell>
          <cell r="BA387" t="str">
            <v>삼아</v>
          </cell>
          <cell r="BB387" t="str">
            <v>H50A14K</v>
          </cell>
          <cell r="BC387"/>
          <cell r="BD387" t="str">
            <v>D981</v>
          </cell>
          <cell r="BE387"/>
          <cell r="BF387"/>
          <cell r="BG387"/>
          <cell r="BH387"/>
          <cell r="BI387">
            <v>937</v>
          </cell>
          <cell r="BJ387">
            <v>995</v>
          </cell>
          <cell r="BK387">
            <v>58</v>
          </cell>
          <cell r="BL387">
            <v>56</v>
          </cell>
          <cell r="BM387"/>
          <cell r="BN387"/>
          <cell r="BO387"/>
          <cell r="BP387"/>
          <cell r="BQ387"/>
          <cell r="BR387"/>
          <cell r="BS387"/>
          <cell r="BT387"/>
          <cell r="BU387"/>
          <cell r="BV387"/>
          <cell r="BW387"/>
          <cell r="BX387"/>
          <cell r="BY387"/>
          <cell r="BZ387"/>
          <cell r="CA387"/>
          <cell r="CB387"/>
          <cell r="CC387"/>
          <cell r="CD387"/>
          <cell r="CE387"/>
          <cell r="CF387"/>
          <cell r="CG387"/>
          <cell r="CH387"/>
          <cell r="CI387"/>
          <cell r="CJ387"/>
          <cell r="CK387"/>
          <cell r="CL387"/>
          <cell r="CM387"/>
          <cell r="CN387"/>
          <cell r="CO387"/>
          <cell r="CP387"/>
        </row>
        <row r="388">
          <cell r="C388">
            <v>130</v>
          </cell>
          <cell r="D388" t="str">
            <v>HC000099</v>
          </cell>
          <cell r="E388" t="str">
            <v xml:space="preserve"> EXTENTION,FENDER SHIELD LH</v>
          </cell>
          <cell r="W388">
            <v>1</v>
          </cell>
          <cell r="X388">
            <v>1</v>
          </cell>
          <cell r="AE388">
            <v>1</v>
          </cell>
          <cell r="AH388">
            <v>1</v>
          </cell>
          <cell r="AI388">
            <v>1</v>
          </cell>
          <cell r="AN388">
            <v>1</v>
          </cell>
          <cell r="AP388">
            <v>1</v>
          </cell>
          <cell r="AR388">
            <v>1</v>
          </cell>
          <cell r="AT388">
            <v>1</v>
          </cell>
          <cell r="AW388">
            <v>1</v>
          </cell>
          <cell r="AY388">
            <v>1</v>
          </cell>
          <cell r="AZ388" t="str">
            <v>B</v>
          </cell>
          <cell r="BA388" t="str">
            <v>삼아</v>
          </cell>
          <cell r="BB388" t="str">
            <v>H50A14K</v>
          </cell>
          <cell r="BD388" t="str">
            <v>D981</v>
          </cell>
          <cell r="BE388" t="str">
            <v>V6</v>
          </cell>
          <cell r="BI388">
            <v>0</v>
          </cell>
          <cell r="BJ388">
            <v>2</v>
          </cell>
          <cell r="BK388">
            <v>60</v>
          </cell>
          <cell r="BL388">
            <v>46</v>
          </cell>
          <cell r="BM388"/>
          <cell r="BN388"/>
          <cell r="BO388"/>
          <cell r="BP388"/>
          <cell r="BQ388"/>
          <cell r="BR388"/>
          <cell r="BS388"/>
          <cell r="BT388"/>
          <cell r="BU388"/>
          <cell r="BV388"/>
          <cell r="BW388"/>
          <cell r="BX388"/>
          <cell r="BY388"/>
          <cell r="BZ388"/>
          <cell r="CA388"/>
          <cell r="CB388"/>
          <cell r="CC388"/>
          <cell r="CD388"/>
          <cell r="CE388"/>
          <cell r="CF388"/>
          <cell r="CG388"/>
          <cell r="CH388"/>
          <cell r="CI388"/>
          <cell r="CJ388"/>
          <cell r="CK388"/>
          <cell r="CL388"/>
          <cell r="CM388"/>
          <cell r="CN388"/>
          <cell r="CO388"/>
          <cell r="CP388"/>
          <cell r="CQ388"/>
        </row>
        <row r="389">
          <cell r="C389">
            <v>2454</v>
          </cell>
          <cell r="D389" t="str">
            <v>HC000100A</v>
          </cell>
          <cell r="E389" t="str">
            <v xml:space="preserve"> REINF,FENDER SHIELD RH</v>
          </cell>
          <cell r="I389">
            <v>1</v>
          </cell>
          <cell r="J389">
            <v>1</v>
          </cell>
          <cell r="K389">
            <v>1</v>
          </cell>
          <cell r="M389">
            <v>1</v>
          </cell>
          <cell r="N389">
            <v>1</v>
          </cell>
          <cell r="O389">
            <v>1</v>
          </cell>
          <cell r="P389">
            <v>1</v>
          </cell>
          <cell r="Q389">
            <v>1</v>
          </cell>
          <cell r="R389">
            <v>1</v>
          </cell>
          <cell r="S389">
            <v>1</v>
          </cell>
          <cell r="T389">
            <v>1</v>
          </cell>
          <cell r="AC389">
            <v>1</v>
          </cell>
          <cell r="AD389">
            <v>1</v>
          </cell>
          <cell r="AJ389">
            <v>1</v>
          </cell>
          <cell r="AK389">
            <v>1</v>
          </cell>
          <cell r="AL389">
            <v>1</v>
          </cell>
          <cell r="AM389">
            <v>1</v>
          </cell>
          <cell r="AO389">
            <v>1</v>
          </cell>
          <cell r="AQ389">
            <v>1</v>
          </cell>
          <cell r="AS389">
            <v>1</v>
          </cell>
          <cell r="AU389">
            <v>1</v>
          </cell>
          <cell r="AX389">
            <v>1</v>
          </cell>
          <cell r="AZ389" t="str">
            <v>B</v>
          </cell>
          <cell r="BA389" t="str">
            <v>삼아</v>
          </cell>
        </row>
        <row r="390">
          <cell r="C390">
            <v>1334</v>
          </cell>
          <cell r="D390" t="str">
            <v>HQ505321</v>
          </cell>
          <cell r="E390" t="str">
            <v xml:space="preserve"> REINF DASH PNL</v>
          </cell>
          <cell r="F390" t="str">
            <v>+431</v>
          </cell>
          <cell r="K390">
            <v>1</v>
          </cell>
          <cell r="M390">
            <v>1</v>
          </cell>
          <cell r="N390">
            <v>1</v>
          </cell>
          <cell r="O390">
            <v>1</v>
          </cell>
          <cell r="P390">
            <v>1</v>
          </cell>
          <cell r="Q390">
            <v>1</v>
          </cell>
          <cell r="T390">
            <v>1</v>
          </cell>
          <cell r="Z390">
            <v>1</v>
          </cell>
          <cell r="AD390">
            <v>1</v>
          </cell>
          <cell r="AO390">
            <v>1</v>
          </cell>
          <cell r="AS390">
            <v>1</v>
          </cell>
          <cell r="AZ390" t="str">
            <v>B</v>
          </cell>
          <cell r="BA390" t="str">
            <v>삼아</v>
          </cell>
          <cell r="BB390" t="str">
            <v>H50A13K01-12,13,16,17,20,21,24,25,27,29</v>
          </cell>
          <cell r="BD390" t="str">
            <v>D981</v>
          </cell>
          <cell r="BI390">
            <v>684</v>
          </cell>
          <cell r="BJ390">
            <v>235</v>
          </cell>
          <cell r="BK390">
            <v>8</v>
          </cell>
          <cell r="BL390">
            <v>29</v>
          </cell>
          <cell r="BM390"/>
          <cell r="BN390"/>
          <cell r="BO390"/>
          <cell r="BP390"/>
          <cell r="BQ390"/>
          <cell r="BR390"/>
          <cell r="BS390"/>
          <cell r="BT390"/>
          <cell r="BU390"/>
          <cell r="BV390"/>
          <cell r="BW390"/>
          <cell r="BX390"/>
          <cell r="BY390"/>
          <cell r="BZ390"/>
          <cell r="CA390"/>
          <cell r="CB390"/>
          <cell r="CC390"/>
          <cell r="CD390"/>
          <cell r="CE390"/>
          <cell r="CF390"/>
          <cell r="CG390"/>
          <cell r="CH390"/>
          <cell r="CI390"/>
          <cell r="CJ390"/>
          <cell r="CK390"/>
          <cell r="CL390"/>
          <cell r="CM390"/>
          <cell r="CN390"/>
          <cell r="CO390"/>
          <cell r="CP390"/>
        </row>
        <row r="391">
          <cell r="C391">
            <v>2454</v>
          </cell>
          <cell r="D391" t="str">
            <v>HQ505323</v>
          </cell>
          <cell r="E391" t="str">
            <v xml:space="preserve"> REINF DASH PNL</v>
          </cell>
          <cell r="F391" t="str">
            <v>-431</v>
          </cell>
          <cell r="H391">
            <v>1</v>
          </cell>
          <cell r="I391">
            <v>1</v>
          </cell>
          <cell r="J391">
            <v>1</v>
          </cell>
          <cell r="K391">
            <v>1</v>
          </cell>
          <cell r="L391">
            <v>1</v>
          </cell>
          <cell r="M391">
            <v>1</v>
          </cell>
          <cell r="N391">
            <v>1</v>
          </cell>
          <cell r="O391">
            <v>1</v>
          </cell>
          <cell r="P391">
            <v>1</v>
          </cell>
          <cell r="Q391">
            <v>1</v>
          </cell>
          <cell r="R391">
            <v>1</v>
          </cell>
          <cell r="S391">
            <v>1</v>
          </cell>
          <cell r="T391">
            <v>1</v>
          </cell>
          <cell r="U391">
            <v>1</v>
          </cell>
          <cell r="V391">
            <v>1</v>
          </cell>
          <cell r="Y391">
            <v>1</v>
          </cell>
          <cell r="Z391">
            <v>1</v>
          </cell>
          <cell r="AA391">
            <v>1</v>
          </cell>
          <cell r="AB391">
            <v>1</v>
          </cell>
          <cell r="AC391">
            <v>1</v>
          </cell>
          <cell r="AD391">
            <v>1</v>
          </cell>
          <cell r="AF391">
            <v>1</v>
          </cell>
          <cell r="AG391">
            <v>1</v>
          </cell>
          <cell r="AH391"/>
          <cell r="AI391"/>
          <cell r="AJ391">
            <v>1</v>
          </cell>
          <cell r="AK391">
            <v>1</v>
          </cell>
          <cell r="AL391">
            <v>1</v>
          </cell>
          <cell r="AM391">
            <v>1</v>
          </cell>
          <cell r="AN391"/>
          <cell r="AO391">
            <v>1</v>
          </cell>
          <cell r="AP391"/>
          <cell r="AQ391">
            <v>1</v>
          </cell>
          <cell r="AR391"/>
          <cell r="AS391">
            <v>1</v>
          </cell>
          <cell r="AT391"/>
          <cell r="AU391">
            <v>1</v>
          </cell>
          <cell r="AV391">
            <v>1</v>
          </cell>
          <cell r="AW391"/>
          <cell r="AX391">
            <v>1</v>
          </cell>
          <cell r="AY391"/>
          <cell r="AZ391" t="str">
            <v>B</v>
          </cell>
          <cell r="BA391" t="str">
            <v>삼아</v>
          </cell>
          <cell r="BB391" t="str">
            <v>H50A13K01-1,4,7,14,15,18,19,22,23,26,28,61,63^65</v>
          </cell>
          <cell r="BC391"/>
          <cell r="BD391" t="str">
            <v>D981</v>
          </cell>
          <cell r="BE391"/>
          <cell r="BF391"/>
          <cell r="BG391"/>
          <cell r="BH391"/>
          <cell r="BI391">
            <v>937</v>
          </cell>
          <cell r="BJ391">
            <v>995</v>
          </cell>
          <cell r="BK391">
            <v>58</v>
          </cell>
          <cell r="BL391">
            <v>56</v>
          </cell>
          <cell r="BM391"/>
          <cell r="BN391"/>
          <cell r="BO391"/>
          <cell r="BP391"/>
          <cell r="BQ391"/>
          <cell r="BR391"/>
          <cell r="BS391"/>
          <cell r="BT391"/>
          <cell r="BU391"/>
          <cell r="BV391"/>
          <cell r="BW391"/>
          <cell r="BX391"/>
          <cell r="BY391"/>
          <cell r="BZ391"/>
          <cell r="CA391"/>
          <cell r="CB391"/>
          <cell r="CC391"/>
          <cell r="CD391"/>
          <cell r="CE391"/>
          <cell r="CF391"/>
          <cell r="CG391"/>
          <cell r="CH391"/>
          <cell r="CI391"/>
          <cell r="CJ391"/>
          <cell r="CK391"/>
          <cell r="CL391"/>
          <cell r="CM391"/>
          <cell r="CN391"/>
          <cell r="CO391"/>
          <cell r="CP391"/>
        </row>
        <row r="392">
          <cell r="C392">
            <v>79</v>
          </cell>
          <cell r="D392" t="str">
            <v>HQ505325</v>
          </cell>
          <cell r="E392" t="str">
            <v xml:space="preserve"> REINF DASH PNL</v>
          </cell>
          <cell r="F392" t="str">
            <v>+431</v>
          </cell>
          <cell r="W392">
            <v>1</v>
          </cell>
          <cell r="X392">
            <v>1</v>
          </cell>
          <cell r="AE392">
            <v>1</v>
          </cell>
          <cell r="AH392">
            <v>1</v>
          </cell>
          <cell r="AI392">
            <v>1</v>
          </cell>
          <cell r="AP392">
            <v>1</v>
          </cell>
          <cell r="AT392">
            <v>1</v>
          </cell>
          <cell r="AW392">
            <v>1</v>
          </cell>
          <cell r="AZ392" t="str">
            <v>B</v>
          </cell>
          <cell r="BA392" t="str">
            <v>삼아</v>
          </cell>
          <cell r="BB392" t="str">
            <v>H50A13K01-9^11</v>
          </cell>
          <cell r="BD392" t="str">
            <v>D981</v>
          </cell>
          <cell r="BI392">
            <v>0</v>
          </cell>
          <cell r="BJ392">
            <v>2</v>
          </cell>
          <cell r="BK392">
            <v>53</v>
          </cell>
          <cell r="BL392">
            <v>2</v>
          </cell>
          <cell r="BM392"/>
          <cell r="BN392"/>
          <cell r="BO392"/>
          <cell r="BP392"/>
          <cell r="BQ392"/>
          <cell r="BR392"/>
          <cell r="BS392"/>
          <cell r="BT392"/>
          <cell r="BU392"/>
          <cell r="BV392"/>
          <cell r="BW392"/>
          <cell r="BX392"/>
          <cell r="BY392"/>
          <cell r="BZ392"/>
          <cell r="CA392"/>
          <cell r="CB392"/>
          <cell r="CC392"/>
          <cell r="CD392"/>
          <cell r="CE392"/>
          <cell r="CF392"/>
          <cell r="CG392"/>
          <cell r="CH392"/>
          <cell r="CI392"/>
          <cell r="CJ392"/>
          <cell r="CK392"/>
          <cell r="CL392"/>
          <cell r="CM392"/>
          <cell r="CN392"/>
          <cell r="CO392"/>
          <cell r="CP392"/>
          <cell r="CQ392"/>
        </row>
        <row r="393">
          <cell r="C393">
            <v>130</v>
          </cell>
          <cell r="D393" t="str">
            <v>HQ505327</v>
          </cell>
          <cell r="E393" t="str">
            <v xml:space="preserve"> REINF DASH PNL</v>
          </cell>
          <cell r="F393" t="str">
            <v>-431</v>
          </cell>
          <cell r="X393">
            <v>1</v>
          </cell>
          <cell r="AE393">
            <v>1</v>
          </cell>
          <cell r="AH393">
            <v>1</v>
          </cell>
          <cell r="AI393">
            <v>1</v>
          </cell>
          <cell r="AN393">
            <v>1</v>
          </cell>
          <cell r="AP393">
            <v>1</v>
          </cell>
          <cell r="AR393">
            <v>1</v>
          </cell>
          <cell r="AT393">
            <v>1</v>
          </cell>
          <cell r="AW393">
            <v>1</v>
          </cell>
          <cell r="AY393">
            <v>1</v>
          </cell>
          <cell r="AZ393" t="str">
            <v>B</v>
          </cell>
          <cell r="BA393" t="str">
            <v>삼아</v>
          </cell>
          <cell r="BB393" t="str">
            <v>H50A13K01-3,5,6</v>
          </cell>
          <cell r="BD393" t="str">
            <v>D981</v>
          </cell>
          <cell r="BI393">
            <v>0</v>
          </cell>
          <cell r="BJ393">
            <v>2</v>
          </cell>
          <cell r="BK393">
            <v>60</v>
          </cell>
          <cell r="BL393">
            <v>46</v>
          </cell>
          <cell r="BM393"/>
          <cell r="BN393"/>
          <cell r="BO393"/>
          <cell r="BP393"/>
          <cell r="BQ393"/>
          <cell r="BR393"/>
          <cell r="BS393"/>
          <cell r="BT393"/>
          <cell r="BU393"/>
          <cell r="BV393"/>
          <cell r="BW393"/>
          <cell r="BX393"/>
          <cell r="BY393"/>
          <cell r="BZ393"/>
          <cell r="CA393"/>
          <cell r="CB393"/>
          <cell r="CC393"/>
          <cell r="CD393"/>
          <cell r="CE393"/>
          <cell r="CF393"/>
          <cell r="CG393"/>
          <cell r="CH393"/>
          <cell r="CI393"/>
          <cell r="CJ393"/>
          <cell r="CK393"/>
          <cell r="CL393"/>
          <cell r="CM393"/>
          <cell r="CN393"/>
          <cell r="CO393"/>
          <cell r="CP393"/>
          <cell r="CQ393"/>
        </row>
        <row r="394">
          <cell r="C394">
            <v>1125</v>
          </cell>
          <cell r="D394" t="str">
            <v>HQ505441</v>
          </cell>
          <cell r="E394" t="str">
            <v xml:space="preserve"> EXTENTION,FENDER SHIELD RH</v>
          </cell>
          <cell r="F394" t="str">
            <v>+581A,ABS</v>
          </cell>
          <cell r="K394">
            <v>1</v>
          </cell>
          <cell r="M394">
            <v>1</v>
          </cell>
          <cell r="N394">
            <v>1</v>
          </cell>
          <cell r="O394">
            <v>1</v>
          </cell>
          <cell r="P394">
            <v>1</v>
          </cell>
          <cell r="Q394">
            <v>1</v>
          </cell>
          <cell r="W394">
            <v>1</v>
          </cell>
          <cell r="X394">
            <v>1</v>
          </cell>
          <cell r="AD394">
            <v>1</v>
          </cell>
          <cell r="AE394">
            <v>1</v>
          </cell>
          <cell r="AH394">
            <v>1</v>
          </cell>
          <cell r="AO394">
            <v>1</v>
          </cell>
          <cell r="AP394">
            <v>1</v>
          </cell>
          <cell r="AQ394">
            <v>1</v>
          </cell>
          <cell r="AR394">
            <v>1</v>
          </cell>
          <cell r="AS394">
            <v>1</v>
          </cell>
          <cell r="AT394">
            <v>1</v>
          </cell>
          <cell r="AW394">
            <v>1</v>
          </cell>
          <cell r="AZ394" t="str">
            <v>B</v>
          </cell>
          <cell r="BA394" t="str">
            <v>삼아</v>
          </cell>
          <cell r="BB394" t="str">
            <v>H50A14K</v>
          </cell>
          <cell r="BC394" t="str">
            <v>MB250194A</v>
          </cell>
          <cell r="BD394" t="str">
            <v>D981</v>
          </cell>
          <cell r="BI394">
            <v>684</v>
          </cell>
          <cell r="BJ394">
            <v>2</v>
          </cell>
          <cell r="BK394">
            <v>8</v>
          </cell>
          <cell r="BL394">
            <v>67</v>
          </cell>
          <cell r="BM394"/>
          <cell r="BN394"/>
          <cell r="BO394"/>
          <cell r="BP394"/>
          <cell r="BQ394"/>
          <cell r="BR394"/>
          <cell r="BS394"/>
          <cell r="BT394"/>
          <cell r="BU394"/>
          <cell r="BV394"/>
          <cell r="BW394"/>
          <cell r="BX394"/>
          <cell r="BY394"/>
          <cell r="BZ394"/>
          <cell r="CA394"/>
          <cell r="CB394"/>
          <cell r="CC394"/>
          <cell r="CD394"/>
          <cell r="CE394"/>
          <cell r="CF394"/>
          <cell r="CG394"/>
          <cell r="CH394"/>
          <cell r="CI394"/>
          <cell r="CJ394"/>
          <cell r="CK394"/>
          <cell r="CL394"/>
          <cell r="CM394"/>
          <cell r="CN394"/>
          <cell r="CO394"/>
          <cell r="CP394"/>
          <cell r="CQ394"/>
        </row>
        <row r="395">
          <cell r="C395">
            <v>0</v>
          </cell>
          <cell r="D395" t="str">
            <v>HQ621002</v>
          </cell>
          <cell r="E395" t="str">
            <v xml:space="preserve"> BRKT-ABS ECU UNIT TRIM</v>
          </cell>
          <cell r="AZ395" t="str">
            <v>B</v>
          </cell>
          <cell r="BA395" t="str">
            <v>삼아</v>
          </cell>
        </row>
        <row r="396">
          <cell r="C396">
            <v>2584</v>
          </cell>
          <cell r="D396" t="str">
            <v>MB246042</v>
          </cell>
          <cell r="E396" t="str">
            <v xml:space="preserve"> DUCT,AIR INTAKE,SIDE</v>
          </cell>
          <cell r="G396">
            <v>1</v>
          </cell>
          <cell r="AZ396" t="str">
            <v>B</v>
          </cell>
          <cell r="BA396" t="str">
            <v>삼아</v>
          </cell>
          <cell r="BB396" t="str">
            <v>H50A18K</v>
          </cell>
          <cell r="BD396" t="str">
            <v>D981</v>
          </cell>
          <cell r="BE396" t="str">
            <v>ALL</v>
          </cell>
          <cell r="BI396">
            <v>0</v>
          </cell>
          <cell r="BJ396">
            <v>0</v>
          </cell>
          <cell r="BK396">
            <v>0</v>
          </cell>
          <cell r="BL396">
            <v>0</v>
          </cell>
          <cell r="BM396"/>
          <cell r="BN396"/>
          <cell r="BO396"/>
          <cell r="BP396"/>
          <cell r="BQ396"/>
          <cell r="BR396"/>
          <cell r="BS396"/>
          <cell r="BT396"/>
          <cell r="BU396"/>
          <cell r="BV396"/>
          <cell r="BW396"/>
          <cell r="BX396"/>
          <cell r="BY396"/>
          <cell r="BZ396"/>
          <cell r="CA396"/>
          <cell r="CB396"/>
          <cell r="CC396"/>
          <cell r="CD396"/>
          <cell r="CE396"/>
          <cell r="CF396"/>
          <cell r="CG396"/>
          <cell r="CH396"/>
          <cell r="CI396"/>
          <cell r="CJ396"/>
          <cell r="CK396"/>
        </row>
        <row r="397">
          <cell r="C397">
            <v>2584</v>
          </cell>
          <cell r="D397" t="str">
            <v>MB250194A</v>
          </cell>
          <cell r="E397" t="str">
            <v xml:space="preserve"> EXTENTION,FENDER SHIELD RH</v>
          </cell>
          <cell r="F397" t="str">
            <v>-581A</v>
          </cell>
          <cell r="G397">
            <v>1</v>
          </cell>
          <cell r="AZ397" t="str">
            <v>B</v>
          </cell>
          <cell r="BA397" t="str">
            <v>삼아</v>
          </cell>
          <cell r="BB397" t="str">
            <v>H50A14K</v>
          </cell>
          <cell r="BD397" t="str">
            <v>D981</v>
          </cell>
          <cell r="BE397" t="str">
            <v>ALL</v>
          </cell>
          <cell r="BI397">
            <v>0</v>
          </cell>
          <cell r="BJ397">
            <v>0</v>
          </cell>
          <cell r="BK397">
            <v>0</v>
          </cell>
          <cell r="BL397">
            <v>0</v>
          </cell>
          <cell r="BM397"/>
          <cell r="BN397"/>
          <cell r="BO397"/>
          <cell r="BP397"/>
          <cell r="BQ397"/>
          <cell r="BR397"/>
          <cell r="BS397"/>
          <cell r="BT397"/>
          <cell r="BU397"/>
          <cell r="BV397"/>
          <cell r="BW397"/>
          <cell r="BX397"/>
          <cell r="BY397"/>
          <cell r="BZ397"/>
          <cell r="CA397"/>
          <cell r="CB397"/>
          <cell r="CC397"/>
          <cell r="CD397"/>
          <cell r="CE397"/>
          <cell r="CF397"/>
          <cell r="CG397"/>
          <cell r="CH397"/>
          <cell r="CI397"/>
          <cell r="CJ397"/>
          <cell r="CK397"/>
        </row>
        <row r="398">
          <cell r="C398">
            <v>2584</v>
          </cell>
          <cell r="D398" t="str">
            <v>MB250351A</v>
          </cell>
          <cell r="E398" t="str">
            <v xml:space="preserve"> REINF,HINGE,LWR LH</v>
          </cell>
          <cell r="G398">
            <v>1</v>
          </cell>
          <cell r="AZ398" t="str">
            <v>B</v>
          </cell>
          <cell r="BA398" t="str">
            <v>삼아</v>
          </cell>
          <cell r="BB398" t="str">
            <v>H50A16K</v>
          </cell>
          <cell r="BD398" t="str">
            <v>D981</v>
          </cell>
          <cell r="BE398" t="str">
            <v>ALL</v>
          </cell>
          <cell r="BI398">
            <v>0</v>
          </cell>
          <cell r="BJ398">
            <v>0</v>
          </cell>
          <cell r="BK398">
            <v>0</v>
          </cell>
          <cell r="BL398">
            <v>0</v>
          </cell>
          <cell r="BM398"/>
          <cell r="BN398"/>
          <cell r="BO398"/>
          <cell r="BP398"/>
          <cell r="BQ398"/>
          <cell r="BR398"/>
          <cell r="BS398"/>
          <cell r="BT398"/>
          <cell r="BU398"/>
          <cell r="BV398"/>
          <cell r="BW398"/>
          <cell r="BX398"/>
          <cell r="BY398"/>
          <cell r="BZ398"/>
          <cell r="CA398"/>
          <cell r="CB398"/>
          <cell r="CC398"/>
          <cell r="CD398"/>
          <cell r="CE398"/>
          <cell r="CF398"/>
          <cell r="CG398"/>
          <cell r="CH398"/>
          <cell r="CI398"/>
          <cell r="CJ398"/>
          <cell r="CK398"/>
        </row>
        <row r="399">
          <cell r="C399">
            <v>2584</v>
          </cell>
          <cell r="D399" t="str">
            <v>MB250352A</v>
          </cell>
          <cell r="E399" t="str">
            <v xml:space="preserve"> REINF,HINGE,LWR RH</v>
          </cell>
          <cell r="G399">
            <v>1</v>
          </cell>
          <cell r="AZ399" t="str">
            <v>B</v>
          </cell>
          <cell r="BA399" t="str">
            <v>삼아</v>
          </cell>
          <cell r="BB399" t="str">
            <v>H50A16K</v>
          </cell>
          <cell r="BD399" t="str">
            <v>D981</v>
          </cell>
          <cell r="BE399" t="str">
            <v>ALL</v>
          </cell>
          <cell r="BI399">
            <v>0</v>
          </cell>
          <cell r="BJ399">
            <v>0</v>
          </cell>
          <cell r="BK399">
            <v>0</v>
          </cell>
          <cell r="BL399">
            <v>0</v>
          </cell>
          <cell r="BM399"/>
          <cell r="BN399"/>
          <cell r="BO399"/>
          <cell r="BP399"/>
          <cell r="BQ399"/>
          <cell r="BR399"/>
          <cell r="BS399"/>
          <cell r="BT399"/>
          <cell r="BU399"/>
          <cell r="BV399"/>
          <cell r="BW399"/>
          <cell r="BX399"/>
          <cell r="BY399"/>
          <cell r="BZ399"/>
          <cell r="CA399"/>
          <cell r="CB399"/>
          <cell r="CC399"/>
          <cell r="CD399"/>
          <cell r="CE399"/>
          <cell r="CF399"/>
          <cell r="CG399"/>
          <cell r="CH399"/>
          <cell r="CI399"/>
          <cell r="CJ399"/>
          <cell r="CK399"/>
        </row>
        <row r="400">
          <cell r="C400">
            <v>5168</v>
          </cell>
          <cell r="D400" t="str">
            <v>MB250355</v>
          </cell>
          <cell r="E400" t="str">
            <v xml:space="preserve"> REINF,FR DOOR STOPPER</v>
          </cell>
          <cell r="G400">
            <v>2</v>
          </cell>
          <cell r="AZ400" t="str">
            <v>B</v>
          </cell>
          <cell r="BA400" t="str">
            <v>삼아</v>
          </cell>
          <cell r="BB400" t="str">
            <v>H50A16K</v>
          </cell>
          <cell r="BD400" t="str">
            <v>D981</v>
          </cell>
          <cell r="BE400" t="str">
            <v>ALL</v>
          </cell>
          <cell r="BI400">
            <v>0</v>
          </cell>
          <cell r="BJ400">
            <v>0</v>
          </cell>
          <cell r="BK400">
            <v>0</v>
          </cell>
          <cell r="BL400">
            <v>0</v>
          </cell>
          <cell r="BM400"/>
          <cell r="BN400"/>
          <cell r="BO400"/>
          <cell r="BP400"/>
          <cell r="BQ400"/>
          <cell r="BR400"/>
          <cell r="BS400"/>
          <cell r="BT400"/>
          <cell r="BU400"/>
          <cell r="BV400"/>
          <cell r="BW400"/>
          <cell r="BX400"/>
          <cell r="BY400"/>
          <cell r="BZ400"/>
          <cell r="CA400"/>
          <cell r="CB400"/>
          <cell r="CC400"/>
          <cell r="CD400"/>
          <cell r="CE400"/>
          <cell r="CF400"/>
          <cell r="CG400"/>
          <cell r="CH400"/>
          <cell r="CI400"/>
          <cell r="CJ400"/>
          <cell r="CK400"/>
        </row>
        <row r="401">
          <cell r="C401">
            <v>589</v>
          </cell>
          <cell r="D401" t="str">
            <v>MB250379A</v>
          </cell>
          <cell r="E401" t="str">
            <v xml:space="preserve"> RAIL,SIDE ROOF,INR(LHD) LH</v>
          </cell>
          <cell r="H401">
            <v>1</v>
          </cell>
          <cell r="I401">
            <v>1</v>
          </cell>
          <cell r="R401">
            <v>1</v>
          </cell>
          <cell r="AB401">
            <v>1</v>
          </cell>
          <cell r="AC401">
            <v>1</v>
          </cell>
          <cell r="AF401">
            <v>1</v>
          </cell>
          <cell r="AG401">
            <v>1</v>
          </cell>
          <cell r="AH401"/>
          <cell r="AI401"/>
          <cell r="AJ401"/>
          <cell r="AK401"/>
          <cell r="AL401"/>
          <cell r="AM401"/>
          <cell r="AN401"/>
          <cell r="AO401"/>
          <cell r="AP401"/>
          <cell r="AQ401"/>
          <cell r="AR401"/>
          <cell r="AS401"/>
          <cell r="AT401"/>
          <cell r="AU401"/>
          <cell r="AV401"/>
          <cell r="AW401"/>
          <cell r="AX401"/>
          <cell r="AY401"/>
          <cell r="AZ401" t="str">
            <v>B</v>
          </cell>
          <cell r="BA401" t="str">
            <v>삼아</v>
          </cell>
          <cell r="BB401" t="str">
            <v>H50A16K</v>
          </cell>
          <cell r="BC401" t="str">
            <v>LINE H/ROOF미적용</v>
          </cell>
          <cell r="BD401" t="str">
            <v>D981</v>
          </cell>
          <cell r="BE401" t="str">
            <v>STD,H/R</v>
          </cell>
          <cell r="BF401"/>
          <cell r="BG401"/>
          <cell r="BH401"/>
          <cell r="BI401">
            <v>20</v>
          </cell>
          <cell r="BJ401">
            <v>539</v>
          </cell>
          <cell r="BK401">
            <v>0</v>
          </cell>
          <cell r="BL401">
            <v>0</v>
          </cell>
          <cell r="BM401"/>
          <cell r="BN401"/>
          <cell r="BO401"/>
          <cell r="BP401"/>
          <cell r="BQ401"/>
          <cell r="BR401"/>
          <cell r="BS401"/>
          <cell r="BT401"/>
          <cell r="BU401"/>
          <cell r="BV401"/>
          <cell r="BW401"/>
          <cell r="BX401"/>
          <cell r="BY401"/>
          <cell r="BZ401"/>
          <cell r="CA401"/>
          <cell r="CB401"/>
          <cell r="CC401"/>
          <cell r="CD401"/>
          <cell r="CE401"/>
          <cell r="CF401"/>
          <cell r="CG401"/>
          <cell r="CH401"/>
          <cell r="CI401"/>
          <cell r="CJ401"/>
          <cell r="CK401"/>
          <cell r="CL401"/>
          <cell r="CM401"/>
          <cell r="CN401"/>
          <cell r="CO401"/>
        </row>
        <row r="402">
          <cell r="C402">
            <v>589</v>
          </cell>
          <cell r="D402" t="str">
            <v>MB250380A</v>
          </cell>
          <cell r="E402" t="str">
            <v xml:space="preserve"> RAIL,SIDE ROOF,INR RH</v>
          </cell>
          <cell r="H402">
            <v>1</v>
          </cell>
          <cell r="I402">
            <v>1</v>
          </cell>
          <cell r="R402">
            <v>1</v>
          </cell>
          <cell r="AB402">
            <v>1</v>
          </cell>
          <cell r="AC402">
            <v>1</v>
          </cell>
          <cell r="AF402">
            <v>1</v>
          </cell>
          <cell r="AG402">
            <v>1</v>
          </cell>
          <cell r="AH402"/>
          <cell r="AI402"/>
          <cell r="AJ402"/>
          <cell r="AK402"/>
          <cell r="AL402"/>
          <cell r="AM402"/>
          <cell r="AN402"/>
          <cell r="AO402"/>
          <cell r="AP402"/>
          <cell r="AQ402"/>
          <cell r="AR402"/>
          <cell r="AS402"/>
          <cell r="AT402"/>
          <cell r="AU402"/>
          <cell r="AV402"/>
          <cell r="AW402"/>
          <cell r="AX402"/>
          <cell r="AY402"/>
          <cell r="AZ402" t="str">
            <v>B</v>
          </cell>
          <cell r="BA402" t="str">
            <v>삼아</v>
          </cell>
          <cell r="BB402" t="str">
            <v>H50A16K</v>
          </cell>
          <cell r="BC402" t="str">
            <v xml:space="preserve"> 〃(KICK UP JOB#1)</v>
          </cell>
          <cell r="BD402" t="str">
            <v>D981</v>
          </cell>
          <cell r="BE402" t="str">
            <v>STD,H/R</v>
          </cell>
          <cell r="BF402"/>
          <cell r="BG402"/>
          <cell r="BH402"/>
          <cell r="BI402">
            <v>20</v>
          </cell>
          <cell r="BJ402">
            <v>539</v>
          </cell>
          <cell r="BK402">
            <v>0</v>
          </cell>
          <cell r="BL402">
            <v>0</v>
          </cell>
          <cell r="BM402"/>
          <cell r="BN402"/>
          <cell r="BO402"/>
          <cell r="BP402"/>
          <cell r="BQ402"/>
          <cell r="BR402"/>
          <cell r="BS402"/>
          <cell r="BT402"/>
          <cell r="BU402"/>
          <cell r="BV402"/>
          <cell r="BW402"/>
          <cell r="BX402"/>
          <cell r="BY402"/>
          <cell r="BZ402"/>
          <cell r="CA402"/>
          <cell r="CB402"/>
          <cell r="CC402"/>
          <cell r="CD402"/>
          <cell r="CE402"/>
          <cell r="CF402"/>
          <cell r="CG402"/>
          <cell r="CH402"/>
          <cell r="CI402"/>
          <cell r="CJ402"/>
          <cell r="CK402"/>
          <cell r="CL402"/>
          <cell r="CM402"/>
          <cell r="CN402"/>
          <cell r="CO402"/>
        </row>
        <row r="403">
          <cell r="C403">
            <v>2584</v>
          </cell>
          <cell r="D403" t="str">
            <v>MB250491A</v>
          </cell>
          <cell r="E403" t="str">
            <v xml:space="preserve"> PANEL ASS'Y,WATER GUIDE,CTR</v>
          </cell>
          <cell r="G403">
            <v>1</v>
          </cell>
          <cell r="AZ403" t="str">
            <v>B</v>
          </cell>
          <cell r="BA403" t="str">
            <v>삼아</v>
          </cell>
          <cell r="BB403" t="str">
            <v>H50A18K</v>
          </cell>
          <cell r="BD403" t="str">
            <v>D981</v>
          </cell>
          <cell r="BE403" t="str">
            <v>ALL</v>
          </cell>
          <cell r="BI403">
            <v>0</v>
          </cell>
          <cell r="BJ403">
            <v>0</v>
          </cell>
          <cell r="BK403">
            <v>0</v>
          </cell>
          <cell r="BL403">
            <v>0</v>
          </cell>
          <cell r="BM403"/>
          <cell r="BN403"/>
          <cell r="BO403"/>
          <cell r="BP403"/>
          <cell r="BQ403"/>
          <cell r="BR403"/>
          <cell r="BS403"/>
          <cell r="BT403"/>
          <cell r="BU403"/>
          <cell r="BV403"/>
          <cell r="BW403"/>
          <cell r="BX403"/>
          <cell r="BY403"/>
          <cell r="BZ403"/>
          <cell r="CA403"/>
          <cell r="CB403"/>
          <cell r="CC403"/>
          <cell r="CD403"/>
          <cell r="CE403"/>
          <cell r="CF403"/>
          <cell r="CG403"/>
          <cell r="CH403"/>
          <cell r="CI403"/>
          <cell r="CJ403"/>
          <cell r="CK403"/>
        </row>
        <row r="404">
          <cell r="C404">
            <v>2454</v>
          </cell>
          <cell r="D404" t="str">
            <v>MB250601A</v>
          </cell>
          <cell r="E404" t="str">
            <v xml:space="preserve"> PANEL,H/PROT</v>
          </cell>
          <cell r="H404">
            <v>1</v>
          </cell>
          <cell r="I404">
            <v>1</v>
          </cell>
          <cell r="J404">
            <v>1</v>
          </cell>
          <cell r="K404">
            <v>1</v>
          </cell>
          <cell r="L404">
            <v>1</v>
          </cell>
          <cell r="M404">
            <v>1</v>
          </cell>
          <cell r="N404">
            <v>1</v>
          </cell>
          <cell r="O404">
            <v>1</v>
          </cell>
          <cell r="P404">
            <v>1</v>
          </cell>
          <cell r="Q404">
            <v>1</v>
          </cell>
          <cell r="R404">
            <v>1</v>
          </cell>
          <cell r="S404">
            <v>1</v>
          </cell>
          <cell r="T404">
            <v>1</v>
          </cell>
          <cell r="U404">
            <v>1</v>
          </cell>
          <cell r="V404">
            <v>1</v>
          </cell>
          <cell r="Y404">
            <v>1</v>
          </cell>
          <cell r="Z404">
            <v>1</v>
          </cell>
          <cell r="AA404">
            <v>1</v>
          </cell>
          <cell r="AB404">
            <v>1</v>
          </cell>
          <cell r="AC404">
            <v>1</v>
          </cell>
          <cell r="AD404">
            <v>1</v>
          </cell>
          <cell r="AF404">
            <v>1</v>
          </cell>
          <cell r="AG404">
            <v>1</v>
          </cell>
          <cell r="AH404"/>
          <cell r="AI404"/>
          <cell r="AJ404">
            <v>1</v>
          </cell>
          <cell r="AK404">
            <v>1</v>
          </cell>
          <cell r="AL404">
            <v>1</v>
          </cell>
          <cell r="AM404">
            <v>1</v>
          </cell>
          <cell r="AN404"/>
          <cell r="AO404">
            <v>1</v>
          </cell>
          <cell r="AP404"/>
          <cell r="AQ404">
            <v>1</v>
          </cell>
          <cell r="AR404"/>
          <cell r="AS404">
            <v>1</v>
          </cell>
          <cell r="AT404"/>
          <cell r="AU404">
            <v>1</v>
          </cell>
          <cell r="AV404">
            <v>1</v>
          </cell>
          <cell r="AW404"/>
          <cell r="AX404">
            <v>1</v>
          </cell>
          <cell r="AY404"/>
          <cell r="AZ404" t="str">
            <v>T</v>
          </cell>
          <cell r="BA404" t="str">
            <v>삼아</v>
          </cell>
          <cell r="BB404" t="str">
            <v>H50C25K</v>
          </cell>
          <cell r="BC404"/>
          <cell r="BD404" t="str">
            <v>D981</v>
          </cell>
          <cell r="BE404"/>
          <cell r="BF404"/>
          <cell r="BG404"/>
          <cell r="BH404"/>
          <cell r="BI404" t="e">
            <v>#REF!</v>
          </cell>
          <cell r="BJ404" t="e">
            <v>#REF!</v>
          </cell>
          <cell r="BK404" t="e">
            <v>#REF!</v>
          </cell>
          <cell r="BL404" t="e">
            <v>#REF!</v>
          </cell>
          <cell r="BM404"/>
          <cell r="BN404"/>
          <cell r="BO404"/>
          <cell r="BP404"/>
          <cell r="BQ404"/>
          <cell r="BR404"/>
          <cell r="BS404"/>
          <cell r="BT404"/>
          <cell r="BU404"/>
          <cell r="BV404"/>
          <cell r="BW404"/>
          <cell r="BX404"/>
          <cell r="BY404"/>
          <cell r="BZ404"/>
          <cell r="CA404"/>
          <cell r="CB404"/>
          <cell r="CC404"/>
          <cell r="CD404"/>
          <cell r="CE404"/>
          <cell r="CF404"/>
          <cell r="CG404"/>
          <cell r="CH404"/>
          <cell r="CI404"/>
          <cell r="CJ404"/>
          <cell r="CK404"/>
          <cell r="CL404"/>
          <cell r="CM404"/>
          <cell r="CN404"/>
          <cell r="CO404"/>
          <cell r="CP404"/>
        </row>
        <row r="405">
          <cell r="C405">
            <v>2584</v>
          </cell>
          <cell r="D405" t="str">
            <v>MB250699</v>
          </cell>
          <cell r="E405" t="str">
            <v xml:space="preserve"> REINF,BODY MT'G NO1(C) LH</v>
          </cell>
          <cell r="G405">
            <v>1</v>
          </cell>
          <cell r="AZ405" t="str">
            <v>B</v>
          </cell>
          <cell r="BA405" t="str">
            <v>삼아</v>
          </cell>
          <cell r="BB405" t="str">
            <v>H50A15K</v>
          </cell>
          <cell r="BC405" t="str">
            <v>A2</v>
          </cell>
          <cell r="BD405" t="str">
            <v>D981</v>
          </cell>
          <cell r="BE405" t="str">
            <v>ALL</v>
          </cell>
          <cell r="BI405">
            <v>0</v>
          </cell>
          <cell r="BJ405">
            <v>0</v>
          </cell>
          <cell r="BK405">
            <v>0</v>
          </cell>
          <cell r="BL405">
            <v>0</v>
          </cell>
          <cell r="BM405"/>
          <cell r="BN405"/>
          <cell r="BO405"/>
          <cell r="BP405"/>
          <cell r="BQ405"/>
          <cell r="BR405"/>
          <cell r="BS405"/>
          <cell r="BT405"/>
          <cell r="BU405"/>
          <cell r="BV405"/>
          <cell r="BW405"/>
          <cell r="BX405"/>
          <cell r="BY405"/>
          <cell r="BZ405"/>
          <cell r="CA405"/>
          <cell r="CB405"/>
          <cell r="CC405"/>
          <cell r="CD405"/>
          <cell r="CE405"/>
          <cell r="CF405"/>
          <cell r="CG405"/>
          <cell r="CH405"/>
          <cell r="CI405"/>
          <cell r="CJ405"/>
          <cell r="CK405"/>
        </row>
        <row r="406">
          <cell r="C406">
            <v>2584</v>
          </cell>
          <cell r="D406" t="str">
            <v>MB250700</v>
          </cell>
          <cell r="E406" t="str">
            <v xml:space="preserve"> REINF,BODY MT'G NO1(C) RH</v>
          </cell>
          <cell r="G406">
            <v>1</v>
          </cell>
          <cell r="AZ406" t="str">
            <v>B</v>
          </cell>
          <cell r="BA406" t="str">
            <v>삼아</v>
          </cell>
          <cell r="BB406" t="str">
            <v>H50A15K</v>
          </cell>
          <cell r="BC406" t="str">
            <v>A2</v>
          </cell>
          <cell r="BD406" t="str">
            <v>D981</v>
          </cell>
          <cell r="BE406" t="str">
            <v>ALL</v>
          </cell>
          <cell r="BI406">
            <v>0</v>
          </cell>
          <cell r="BJ406">
            <v>0</v>
          </cell>
          <cell r="BK406">
            <v>0</v>
          </cell>
          <cell r="BL406">
            <v>0</v>
          </cell>
          <cell r="BM406"/>
          <cell r="BN406"/>
          <cell r="BO406"/>
          <cell r="BP406"/>
          <cell r="BQ406"/>
          <cell r="BR406"/>
          <cell r="BS406"/>
          <cell r="BT406"/>
          <cell r="BU406"/>
          <cell r="BV406"/>
          <cell r="BW406"/>
          <cell r="BX406"/>
          <cell r="BY406"/>
          <cell r="BZ406"/>
          <cell r="CA406"/>
          <cell r="CB406"/>
          <cell r="CC406"/>
          <cell r="CD406"/>
          <cell r="CE406"/>
          <cell r="CF406"/>
          <cell r="CG406"/>
          <cell r="CH406"/>
          <cell r="CI406"/>
          <cell r="CJ406"/>
          <cell r="CK406"/>
        </row>
        <row r="407">
          <cell r="C407">
            <v>692</v>
          </cell>
          <cell r="D407" t="str">
            <v>MB250925</v>
          </cell>
          <cell r="E407" t="str">
            <v xml:space="preserve"> PLATE,TRIM LH</v>
          </cell>
          <cell r="H407">
            <v>1</v>
          </cell>
          <cell r="L407">
            <v>1</v>
          </cell>
          <cell r="M407">
            <v>1</v>
          </cell>
          <cell r="N407">
            <v>1</v>
          </cell>
          <cell r="P407">
            <v>1</v>
          </cell>
          <cell r="R407">
            <v>1</v>
          </cell>
          <cell r="U407">
            <v>1</v>
          </cell>
          <cell r="W407">
            <v>1</v>
          </cell>
          <cell r="AB407">
            <v>1</v>
          </cell>
          <cell r="AC407">
            <v>1</v>
          </cell>
          <cell r="AD407">
            <v>1</v>
          </cell>
          <cell r="AF407">
            <v>1</v>
          </cell>
          <cell r="AG407"/>
          <cell r="AH407">
            <v>1</v>
          </cell>
          <cell r="AI407"/>
          <cell r="AJ407"/>
          <cell r="AK407"/>
          <cell r="AL407">
            <v>1</v>
          </cell>
          <cell r="AM407">
            <v>1</v>
          </cell>
          <cell r="AN407">
            <v>1</v>
          </cell>
          <cell r="AO407">
            <v>1</v>
          </cell>
          <cell r="AP407">
            <v>1</v>
          </cell>
          <cell r="AQ407"/>
          <cell r="AR407"/>
          <cell r="AS407"/>
          <cell r="AT407"/>
          <cell r="AU407"/>
          <cell r="AV407"/>
          <cell r="AW407">
            <v>1</v>
          </cell>
          <cell r="AX407"/>
          <cell r="AY407"/>
          <cell r="AZ407" t="str">
            <v>B</v>
          </cell>
          <cell r="BA407" t="str">
            <v>삼아</v>
          </cell>
          <cell r="BB407" t="str">
            <v>H50A17K</v>
          </cell>
          <cell r="BC407"/>
          <cell r="BD407" t="str">
            <v>D981</v>
          </cell>
          <cell r="BE407" t="str">
            <v>S/B</v>
          </cell>
          <cell r="BF407"/>
          <cell r="BG407"/>
          <cell r="BH407"/>
          <cell r="BI407">
            <v>49</v>
          </cell>
          <cell r="BJ407">
            <v>539</v>
          </cell>
          <cell r="BK407">
            <v>28</v>
          </cell>
          <cell r="BL407">
            <v>2</v>
          </cell>
          <cell r="BM407"/>
          <cell r="BN407"/>
          <cell r="BO407"/>
          <cell r="BP407"/>
          <cell r="BQ407"/>
          <cell r="BR407"/>
          <cell r="BS407"/>
          <cell r="BT407"/>
          <cell r="BU407"/>
          <cell r="BV407"/>
          <cell r="BW407"/>
          <cell r="BX407"/>
          <cell r="BY407"/>
          <cell r="BZ407"/>
          <cell r="CA407"/>
          <cell r="CB407"/>
          <cell r="CC407"/>
          <cell r="CD407"/>
          <cell r="CE407"/>
          <cell r="CF407"/>
          <cell r="CG407"/>
          <cell r="CH407"/>
          <cell r="CI407"/>
          <cell r="CJ407"/>
          <cell r="CK407"/>
          <cell r="CL407"/>
          <cell r="CM407"/>
          <cell r="CN407"/>
          <cell r="CO407"/>
          <cell r="CP407"/>
        </row>
        <row r="408">
          <cell r="C408">
            <v>692</v>
          </cell>
          <cell r="D408" t="str">
            <v>MB250926</v>
          </cell>
          <cell r="E408" t="str">
            <v xml:space="preserve"> PLATE,TRIM RH</v>
          </cell>
          <cell r="H408">
            <v>1</v>
          </cell>
          <cell r="L408">
            <v>1</v>
          </cell>
          <cell r="M408">
            <v>1</v>
          </cell>
          <cell r="N408">
            <v>1</v>
          </cell>
          <cell r="P408">
            <v>1</v>
          </cell>
          <cell r="R408">
            <v>1</v>
          </cell>
          <cell r="U408">
            <v>1</v>
          </cell>
          <cell r="W408">
            <v>1</v>
          </cell>
          <cell r="AB408">
            <v>1</v>
          </cell>
          <cell r="AC408">
            <v>1</v>
          </cell>
          <cell r="AD408">
            <v>1</v>
          </cell>
          <cell r="AF408">
            <v>1</v>
          </cell>
          <cell r="AG408"/>
          <cell r="AH408">
            <v>1</v>
          </cell>
          <cell r="AI408"/>
          <cell r="AJ408"/>
          <cell r="AK408"/>
          <cell r="AL408">
            <v>1</v>
          </cell>
          <cell r="AM408">
            <v>1</v>
          </cell>
          <cell r="AN408">
            <v>1</v>
          </cell>
          <cell r="AO408">
            <v>1</v>
          </cell>
          <cell r="AP408">
            <v>1</v>
          </cell>
          <cell r="AQ408"/>
          <cell r="AR408"/>
          <cell r="AS408"/>
          <cell r="AT408"/>
          <cell r="AU408"/>
          <cell r="AV408"/>
          <cell r="AW408">
            <v>1</v>
          </cell>
          <cell r="AX408"/>
          <cell r="AY408"/>
          <cell r="AZ408" t="str">
            <v>B</v>
          </cell>
          <cell r="BA408" t="str">
            <v>삼아</v>
          </cell>
          <cell r="BB408" t="str">
            <v>H50A17K</v>
          </cell>
          <cell r="BC408"/>
          <cell r="BD408" t="str">
            <v>D981</v>
          </cell>
          <cell r="BE408" t="str">
            <v>S/B</v>
          </cell>
          <cell r="BF408"/>
          <cell r="BG408"/>
          <cell r="BH408"/>
          <cell r="BI408">
            <v>49</v>
          </cell>
          <cell r="BJ408">
            <v>539</v>
          </cell>
          <cell r="BK408">
            <v>28</v>
          </cell>
          <cell r="BL408">
            <v>2</v>
          </cell>
          <cell r="BM408"/>
          <cell r="BN408"/>
          <cell r="BO408"/>
          <cell r="BP408"/>
          <cell r="BQ408"/>
          <cell r="BR408"/>
          <cell r="BS408"/>
          <cell r="BT408"/>
          <cell r="BU408"/>
          <cell r="BV408"/>
          <cell r="BW408"/>
          <cell r="BX408"/>
          <cell r="BY408"/>
          <cell r="BZ408"/>
          <cell r="CA408"/>
          <cell r="CB408"/>
          <cell r="CC408"/>
          <cell r="CD408"/>
          <cell r="CE408"/>
          <cell r="CF408"/>
          <cell r="CG408"/>
          <cell r="CH408"/>
          <cell r="CI408"/>
          <cell r="CJ408"/>
          <cell r="CK408"/>
          <cell r="CL408"/>
          <cell r="CM408"/>
          <cell r="CN408"/>
          <cell r="CO408"/>
          <cell r="CP408"/>
        </row>
        <row r="409">
          <cell r="C409">
            <v>692</v>
          </cell>
          <cell r="D409" t="str">
            <v>MB250965A</v>
          </cell>
          <cell r="E409" t="str">
            <v xml:space="preserve"> REINF,F/SEAT BELT,UPR LH</v>
          </cell>
          <cell r="H409">
            <v>1</v>
          </cell>
          <cell r="L409">
            <v>1</v>
          </cell>
          <cell r="M409">
            <v>1</v>
          </cell>
          <cell r="N409">
            <v>1</v>
          </cell>
          <cell r="P409">
            <v>1</v>
          </cell>
          <cell r="R409">
            <v>1</v>
          </cell>
          <cell r="U409">
            <v>1</v>
          </cell>
          <cell r="W409">
            <v>1</v>
          </cell>
          <cell r="AB409">
            <v>1</v>
          </cell>
          <cell r="AC409">
            <v>1</v>
          </cell>
          <cell r="AD409">
            <v>1</v>
          </cell>
          <cell r="AF409">
            <v>1</v>
          </cell>
          <cell r="AG409"/>
          <cell r="AH409">
            <v>1</v>
          </cell>
          <cell r="AI409"/>
          <cell r="AJ409"/>
          <cell r="AK409"/>
          <cell r="AL409">
            <v>1</v>
          </cell>
          <cell r="AM409">
            <v>1</v>
          </cell>
          <cell r="AN409">
            <v>1</v>
          </cell>
          <cell r="AO409">
            <v>1</v>
          </cell>
          <cell r="AP409">
            <v>1</v>
          </cell>
          <cell r="AQ409"/>
          <cell r="AR409"/>
          <cell r="AS409"/>
          <cell r="AT409"/>
          <cell r="AU409"/>
          <cell r="AV409"/>
          <cell r="AW409">
            <v>1</v>
          </cell>
          <cell r="AX409"/>
          <cell r="AY409"/>
          <cell r="AZ409" t="str">
            <v>B</v>
          </cell>
          <cell r="BA409" t="str">
            <v>삼아</v>
          </cell>
          <cell r="BB409" t="str">
            <v>H50A17K</v>
          </cell>
          <cell r="BC409" t="str">
            <v>C2</v>
          </cell>
          <cell r="BD409" t="str">
            <v>D981</v>
          </cell>
          <cell r="BE409" t="str">
            <v>S/B</v>
          </cell>
          <cell r="BF409"/>
          <cell r="BG409"/>
          <cell r="BH409"/>
          <cell r="BI409">
            <v>49</v>
          </cell>
          <cell r="BJ409">
            <v>539</v>
          </cell>
          <cell r="BK409">
            <v>28</v>
          </cell>
          <cell r="BL409">
            <v>2</v>
          </cell>
          <cell r="BM409"/>
          <cell r="BN409"/>
          <cell r="BO409"/>
          <cell r="BP409"/>
          <cell r="BQ409"/>
          <cell r="BR409"/>
          <cell r="BS409"/>
          <cell r="BT409"/>
          <cell r="BU409"/>
          <cell r="BV409"/>
          <cell r="BW409"/>
          <cell r="BX409"/>
          <cell r="BY409"/>
          <cell r="BZ409"/>
          <cell r="CA409"/>
          <cell r="CB409"/>
          <cell r="CC409"/>
          <cell r="CD409"/>
          <cell r="CE409"/>
          <cell r="CF409"/>
          <cell r="CG409"/>
          <cell r="CH409"/>
          <cell r="CI409"/>
          <cell r="CJ409"/>
          <cell r="CK409"/>
          <cell r="CL409"/>
          <cell r="CM409"/>
          <cell r="CN409"/>
          <cell r="CO409"/>
          <cell r="CP409"/>
        </row>
        <row r="410">
          <cell r="C410">
            <v>692</v>
          </cell>
          <cell r="D410" t="str">
            <v>MB250966A</v>
          </cell>
          <cell r="E410" t="str">
            <v xml:space="preserve"> REINF,F/SEAT BELT,UPR RH</v>
          </cell>
          <cell r="H410">
            <v>1</v>
          </cell>
          <cell r="L410">
            <v>1</v>
          </cell>
          <cell r="M410">
            <v>1</v>
          </cell>
          <cell r="N410">
            <v>1</v>
          </cell>
          <cell r="P410">
            <v>1</v>
          </cell>
          <cell r="R410">
            <v>1</v>
          </cell>
          <cell r="U410">
            <v>1</v>
          </cell>
          <cell r="W410">
            <v>1</v>
          </cell>
          <cell r="AB410">
            <v>1</v>
          </cell>
          <cell r="AC410">
            <v>1</v>
          </cell>
          <cell r="AD410">
            <v>1</v>
          </cell>
          <cell r="AF410">
            <v>1</v>
          </cell>
          <cell r="AG410"/>
          <cell r="AH410">
            <v>1</v>
          </cell>
          <cell r="AI410"/>
          <cell r="AJ410"/>
          <cell r="AK410"/>
          <cell r="AL410">
            <v>1</v>
          </cell>
          <cell r="AM410">
            <v>1</v>
          </cell>
          <cell r="AN410">
            <v>1</v>
          </cell>
          <cell r="AO410">
            <v>1</v>
          </cell>
          <cell r="AP410">
            <v>1</v>
          </cell>
          <cell r="AQ410"/>
          <cell r="AR410"/>
          <cell r="AS410"/>
          <cell r="AT410"/>
          <cell r="AU410"/>
          <cell r="AV410"/>
          <cell r="AW410">
            <v>1</v>
          </cell>
          <cell r="AX410"/>
          <cell r="AY410"/>
          <cell r="AZ410" t="str">
            <v>B</v>
          </cell>
          <cell r="BA410" t="str">
            <v>삼아</v>
          </cell>
          <cell r="BB410" t="str">
            <v>H50A17K</v>
          </cell>
          <cell r="BC410" t="str">
            <v>C2</v>
          </cell>
          <cell r="BD410" t="str">
            <v>D981</v>
          </cell>
          <cell r="BE410" t="str">
            <v>S/B</v>
          </cell>
          <cell r="BF410"/>
          <cell r="BG410"/>
          <cell r="BH410"/>
          <cell r="BI410">
            <v>49</v>
          </cell>
          <cell r="BJ410">
            <v>539</v>
          </cell>
          <cell r="BK410">
            <v>28</v>
          </cell>
          <cell r="BL410">
            <v>2</v>
          </cell>
          <cell r="BM410"/>
          <cell r="BN410"/>
          <cell r="BO410"/>
          <cell r="BP410"/>
          <cell r="BQ410"/>
          <cell r="BR410"/>
          <cell r="BS410"/>
          <cell r="BT410"/>
          <cell r="BU410"/>
          <cell r="BV410"/>
          <cell r="BW410"/>
          <cell r="BX410"/>
          <cell r="BY410"/>
          <cell r="BZ410"/>
          <cell r="CA410"/>
          <cell r="CB410"/>
          <cell r="CC410"/>
          <cell r="CD410"/>
          <cell r="CE410"/>
          <cell r="CF410"/>
          <cell r="CG410"/>
          <cell r="CH410"/>
          <cell r="CI410"/>
          <cell r="CJ410"/>
          <cell r="CK410"/>
          <cell r="CL410"/>
          <cell r="CM410"/>
          <cell r="CN410"/>
          <cell r="CO410"/>
          <cell r="CP410"/>
        </row>
        <row r="411">
          <cell r="C411">
            <v>2584</v>
          </cell>
          <cell r="D411" t="str">
            <v>MB270530</v>
          </cell>
          <cell r="E411" t="str">
            <v xml:space="preserve"> REINF,HOOD LOCK</v>
          </cell>
          <cell r="G411">
            <v>1</v>
          </cell>
          <cell r="AZ411" t="str">
            <v>B</v>
          </cell>
          <cell r="BA411" t="str">
            <v>삼아</v>
          </cell>
          <cell r="BB411" t="str">
            <v>H50B35K</v>
          </cell>
          <cell r="BD411" t="str">
            <v>D981</v>
          </cell>
          <cell r="BE411" t="str">
            <v>ALL</v>
          </cell>
          <cell r="BI411">
            <v>0</v>
          </cell>
          <cell r="BJ411">
            <v>0</v>
          </cell>
          <cell r="BK411">
            <v>0</v>
          </cell>
          <cell r="BL411">
            <v>0</v>
          </cell>
          <cell r="BM411"/>
          <cell r="BN411"/>
          <cell r="BO411"/>
          <cell r="BP411"/>
          <cell r="BQ411"/>
          <cell r="BR411"/>
          <cell r="BS411"/>
          <cell r="BT411"/>
          <cell r="BU411"/>
          <cell r="BV411"/>
          <cell r="BW411"/>
          <cell r="BX411"/>
          <cell r="BY411"/>
          <cell r="BZ411"/>
          <cell r="CA411"/>
          <cell r="CB411"/>
          <cell r="CC411"/>
          <cell r="CD411"/>
          <cell r="CE411"/>
          <cell r="CF411"/>
          <cell r="CG411"/>
          <cell r="CH411"/>
          <cell r="CI411"/>
          <cell r="CJ411"/>
          <cell r="CK411"/>
        </row>
        <row r="412">
          <cell r="C412">
            <v>2584</v>
          </cell>
          <cell r="D412" t="str">
            <v>MB274075</v>
          </cell>
          <cell r="E412" t="str">
            <v xml:space="preserve"> REINF,FENDER SHIELD LH</v>
          </cell>
          <cell r="G412">
            <v>1</v>
          </cell>
          <cell r="AZ412" t="str">
            <v>B</v>
          </cell>
          <cell r="BA412" t="str">
            <v>삼아</v>
          </cell>
          <cell r="BB412" t="str">
            <v>H50A14K</v>
          </cell>
          <cell r="BD412" t="str">
            <v>D981</v>
          </cell>
          <cell r="BE412" t="str">
            <v>ALL</v>
          </cell>
          <cell r="BI412">
            <v>0</v>
          </cell>
          <cell r="BJ412">
            <v>0</v>
          </cell>
          <cell r="BK412">
            <v>0</v>
          </cell>
          <cell r="BL412">
            <v>0</v>
          </cell>
          <cell r="BM412"/>
          <cell r="BN412"/>
          <cell r="BO412"/>
          <cell r="BP412"/>
          <cell r="BQ412"/>
          <cell r="BR412"/>
          <cell r="BS412"/>
          <cell r="BT412"/>
          <cell r="BU412"/>
          <cell r="BV412"/>
          <cell r="BW412"/>
          <cell r="BX412"/>
          <cell r="BY412"/>
          <cell r="BZ412"/>
          <cell r="CA412"/>
          <cell r="CB412"/>
          <cell r="CC412"/>
          <cell r="CD412"/>
          <cell r="CE412"/>
          <cell r="CF412"/>
          <cell r="CG412"/>
          <cell r="CH412"/>
          <cell r="CI412"/>
          <cell r="CJ412"/>
          <cell r="CK412"/>
        </row>
        <row r="413">
          <cell r="C413">
            <v>2584</v>
          </cell>
          <cell r="D413" t="str">
            <v>MB274075A</v>
          </cell>
          <cell r="E413" t="str">
            <v xml:space="preserve"> REINF,FENDER SHIELD LH</v>
          </cell>
          <cell r="G413">
            <v>1</v>
          </cell>
          <cell r="AZ413" t="str">
            <v>B</v>
          </cell>
          <cell r="BA413" t="str">
            <v>삼아</v>
          </cell>
          <cell r="BB413" t="str">
            <v>H50A14K</v>
          </cell>
          <cell r="BD413" t="str">
            <v>D981</v>
          </cell>
          <cell r="BE413" t="str">
            <v>ALL</v>
          </cell>
          <cell r="BI413">
            <v>0</v>
          </cell>
          <cell r="BJ413">
            <v>0</v>
          </cell>
          <cell r="BK413">
            <v>0</v>
          </cell>
          <cell r="BL413">
            <v>0</v>
          </cell>
          <cell r="BM413"/>
          <cell r="BN413"/>
          <cell r="BO413"/>
          <cell r="BP413"/>
          <cell r="BQ413"/>
          <cell r="BR413"/>
          <cell r="BS413"/>
          <cell r="BT413"/>
          <cell r="BU413"/>
          <cell r="BV413"/>
          <cell r="BW413"/>
          <cell r="BX413"/>
          <cell r="BY413"/>
          <cell r="BZ413"/>
          <cell r="CA413"/>
          <cell r="CB413"/>
          <cell r="CC413"/>
          <cell r="CD413"/>
          <cell r="CE413"/>
          <cell r="CF413"/>
          <cell r="CG413"/>
          <cell r="CH413"/>
          <cell r="CI413"/>
          <cell r="CJ413"/>
          <cell r="CK413"/>
        </row>
        <row r="414">
          <cell r="C414">
            <v>130</v>
          </cell>
          <cell r="D414" t="str">
            <v>MB274076</v>
          </cell>
          <cell r="E414" t="str">
            <v xml:space="preserve"> REINF,FENDER SHIELD RH</v>
          </cell>
          <cell r="W414">
            <v>1</v>
          </cell>
          <cell r="X414">
            <v>1</v>
          </cell>
          <cell r="AE414">
            <v>1</v>
          </cell>
          <cell r="AH414">
            <v>1</v>
          </cell>
          <cell r="AI414">
            <v>1</v>
          </cell>
          <cell r="AN414">
            <v>1</v>
          </cell>
          <cell r="AP414">
            <v>1</v>
          </cell>
          <cell r="AR414">
            <v>1</v>
          </cell>
          <cell r="AT414">
            <v>1</v>
          </cell>
          <cell r="AW414">
            <v>1</v>
          </cell>
          <cell r="AY414">
            <v>1</v>
          </cell>
          <cell r="AZ414" t="str">
            <v>B</v>
          </cell>
          <cell r="BA414" t="str">
            <v>삼아</v>
          </cell>
          <cell r="BB414" t="str">
            <v>H50A14K</v>
          </cell>
          <cell r="BD414" t="str">
            <v>D981</v>
          </cell>
          <cell r="BE414" t="str">
            <v>V6</v>
          </cell>
          <cell r="BI414">
            <v>0</v>
          </cell>
          <cell r="BJ414">
            <v>2</v>
          </cell>
          <cell r="BK414">
            <v>60</v>
          </cell>
          <cell r="BL414">
            <v>46</v>
          </cell>
          <cell r="BM414"/>
          <cell r="BN414"/>
          <cell r="BO414"/>
          <cell r="BP414"/>
          <cell r="BQ414"/>
          <cell r="BR414"/>
          <cell r="BS414"/>
          <cell r="BT414"/>
          <cell r="BU414"/>
          <cell r="BV414"/>
          <cell r="BW414"/>
          <cell r="BX414"/>
          <cell r="BY414"/>
          <cell r="BZ414"/>
          <cell r="CA414"/>
          <cell r="CB414"/>
          <cell r="CC414"/>
          <cell r="CD414"/>
          <cell r="CE414"/>
          <cell r="CF414"/>
          <cell r="CG414"/>
          <cell r="CH414"/>
          <cell r="CI414"/>
          <cell r="CJ414"/>
          <cell r="CK414"/>
          <cell r="CL414"/>
          <cell r="CM414"/>
          <cell r="CN414"/>
          <cell r="CO414"/>
          <cell r="CP414"/>
          <cell r="CQ414"/>
        </row>
        <row r="415">
          <cell r="C415">
            <v>130</v>
          </cell>
          <cell r="D415" t="str">
            <v>MB274076A</v>
          </cell>
          <cell r="E415" t="str">
            <v xml:space="preserve"> REINF,FENDER SHIELD RH</v>
          </cell>
          <cell r="W415">
            <v>1</v>
          </cell>
          <cell r="X415">
            <v>1</v>
          </cell>
          <cell r="AE415">
            <v>1</v>
          </cell>
          <cell r="AH415">
            <v>1</v>
          </cell>
          <cell r="AI415">
            <v>1</v>
          </cell>
          <cell r="AN415">
            <v>1</v>
          </cell>
          <cell r="AP415">
            <v>1</v>
          </cell>
          <cell r="AR415">
            <v>1</v>
          </cell>
          <cell r="AT415">
            <v>1</v>
          </cell>
          <cell r="AW415">
            <v>1</v>
          </cell>
          <cell r="AY415">
            <v>1</v>
          </cell>
          <cell r="AZ415" t="str">
            <v>B</v>
          </cell>
          <cell r="BA415" t="str">
            <v>삼아</v>
          </cell>
          <cell r="BB415" t="str">
            <v>H50A14K</v>
          </cell>
          <cell r="BD415" t="str">
            <v>D981</v>
          </cell>
          <cell r="BE415" t="str">
            <v>V6</v>
          </cell>
          <cell r="BI415">
            <v>0</v>
          </cell>
          <cell r="BJ415">
            <v>2</v>
          </cell>
          <cell r="BK415">
            <v>60</v>
          </cell>
          <cell r="BL415">
            <v>46</v>
          </cell>
          <cell r="BM415"/>
          <cell r="BN415"/>
          <cell r="BO415"/>
          <cell r="BP415"/>
          <cell r="BQ415"/>
          <cell r="BR415"/>
          <cell r="BS415"/>
          <cell r="BT415"/>
          <cell r="BU415"/>
          <cell r="BV415"/>
          <cell r="BW415"/>
          <cell r="BX415"/>
          <cell r="BY415"/>
          <cell r="BZ415"/>
          <cell r="CA415"/>
          <cell r="CB415"/>
          <cell r="CC415"/>
          <cell r="CD415"/>
          <cell r="CE415"/>
          <cell r="CF415"/>
          <cell r="CG415"/>
          <cell r="CH415"/>
          <cell r="CI415"/>
          <cell r="CJ415"/>
          <cell r="CK415"/>
          <cell r="CL415"/>
          <cell r="CM415"/>
          <cell r="CN415"/>
          <cell r="CO415"/>
          <cell r="CP415"/>
          <cell r="CQ415"/>
        </row>
        <row r="416">
          <cell r="C416">
            <v>1398</v>
          </cell>
          <cell r="D416" t="str">
            <v>MB274087</v>
          </cell>
          <cell r="E416" t="str">
            <v xml:space="preserve"> PANEL,H/PROT</v>
          </cell>
          <cell r="K416">
            <v>1</v>
          </cell>
          <cell r="M416">
            <v>1</v>
          </cell>
          <cell r="N416">
            <v>1</v>
          </cell>
          <cell r="O416">
            <v>1</v>
          </cell>
          <cell r="P416">
            <v>1</v>
          </cell>
          <cell r="Q416">
            <v>1</v>
          </cell>
          <cell r="T416">
            <v>1</v>
          </cell>
          <cell r="Z416">
            <v>1</v>
          </cell>
          <cell r="AC416">
            <v>1</v>
          </cell>
          <cell r="AD416">
            <v>1</v>
          </cell>
          <cell r="AM416">
            <v>1</v>
          </cell>
          <cell r="AO416">
            <v>1</v>
          </cell>
          <cell r="AQ416">
            <v>1</v>
          </cell>
          <cell r="AS416">
            <v>1</v>
          </cell>
          <cell r="AU416">
            <v>1</v>
          </cell>
          <cell r="AX416">
            <v>1</v>
          </cell>
          <cell r="AZ416" t="str">
            <v>T</v>
          </cell>
          <cell r="BA416" t="str">
            <v>삼아</v>
          </cell>
          <cell r="BB416" t="str">
            <v>H50C25K</v>
          </cell>
          <cell r="BD416" t="str">
            <v>D981</v>
          </cell>
          <cell r="BE416" t="str">
            <v>TC</v>
          </cell>
          <cell r="BI416" t="e">
            <v>#REF!</v>
          </cell>
          <cell r="BJ416" t="e">
            <v>#REF!</v>
          </cell>
          <cell r="BK416" t="e">
            <v>#REF!</v>
          </cell>
          <cell r="BL416" t="e">
            <v>#REF!</v>
          </cell>
          <cell r="BM416"/>
          <cell r="BN416"/>
          <cell r="BO416"/>
          <cell r="BP416"/>
          <cell r="BQ416"/>
          <cell r="BR416"/>
          <cell r="BS416"/>
          <cell r="BT416"/>
          <cell r="BU416"/>
          <cell r="BV416"/>
          <cell r="BW416"/>
          <cell r="BX416"/>
          <cell r="BY416"/>
          <cell r="BZ416"/>
          <cell r="CA416"/>
          <cell r="CB416"/>
          <cell r="CC416"/>
          <cell r="CD416"/>
          <cell r="CE416"/>
          <cell r="CF416"/>
          <cell r="CG416"/>
          <cell r="CH416"/>
          <cell r="CI416"/>
          <cell r="CJ416"/>
          <cell r="CK416"/>
          <cell r="CL416"/>
          <cell r="CM416"/>
          <cell r="CN416"/>
          <cell r="CO416"/>
          <cell r="CP416"/>
        </row>
        <row r="417">
          <cell r="C417">
            <v>1371</v>
          </cell>
          <cell r="D417" t="str">
            <v>MB274561A</v>
          </cell>
          <cell r="E417" t="str">
            <v xml:space="preserve"> PNL ASSY,H/PROT DASH UPR </v>
          </cell>
          <cell r="K417">
            <v>1</v>
          </cell>
          <cell r="M417">
            <v>1</v>
          </cell>
          <cell r="N417">
            <v>1</v>
          </cell>
          <cell r="O417">
            <v>1</v>
          </cell>
          <cell r="P417">
            <v>1</v>
          </cell>
          <cell r="Q417">
            <v>1</v>
          </cell>
          <cell r="T417">
            <v>1</v>
          </cell>
          <cell r="Z417">
            <v>1</v>
          </cell>
          <cell r="AC417">
            <v>1</v>
          </cell>
          <cell r="AD417">
            <v>1</v>
          </cell>
          <cell r="AM417">
            <v>1</v>
          </cell>
          <cell r="AO417">
            <v>1</v>
          </cell>
          <cell r="AS417">
            <v>1</v>
          </cell>
          <cell r="AV417">
            <v>1</v>
          </cell>
          <cell r="AZ417" t="str">
            <v>T</v>
          </cell>
          <cell r="BA417" t="str">
            <v>삼아</v>
          </cell>
          <cell r="BB417" t="str">
            <v>H50C25K</v>
          </cell>
          <cell r="BC417" t="str">
            <v>B2'</v>
          </cell>
          <cell r="BD417" t="str">
            <v>D981</v>
          </cell>
          <cell r="BE417" t="str">
            <v>TC</v>
          </cell>
          <cell r="BI417" t="e">
            <v>#REF!</v>
          </cell>
          <cell r="BJ417" t="e">
            <v>#REF!</v>
          </cell>
          <cell r="BK417" t="e">
            <v>#REF!</v>
          </cell>
          <cell r="BL417" t="e">
            <v>#REF!</v>
          </cell>
          <cell r="BM417"/>
          <cell r="BN417"/>
          <cell r="BO417"/>
          <cell r="BP417"/>
          <cell r="BQ417"/>
          <cell r="BR417"/>
          <cell r="BS417"/>
          <cell r="BT417"/>
          <cell r="BU417"/>
          <cell r="BV417"/>
          <cell r="BW417"/>
          <cell r="BX417"/>
          <cell r="BY417"/>
          <cell r="BZ417"/>
          <cell r="CA417"/>
          <cell r="CB417"/>
          <cell r="CC417"/>
          <cell r="CD417"/>
          <cell r="CE417"/>
          <cell r="CF417"/>
          <cell r="CG417"/>
          <cell r="CH417"/>
          <cell r="CI417"/>
          <cell r="CJ417"/>
          <cell r="CK417"/>
          <cell r="CL417"/>
          <cell r="CM417"/>
          <cell r="CN417"/>
          <cell r="CO417"/>
          <cell r="CP417"/>
        </row>
        <row r="418">
          <cell r="C418">
            <v>2584</v>
          </cell>
          <cell r="D418" t="str">
            <v>MB274635A</v>
          </cell>
          <cell r="E418" t="str">
            <v xml:space="preserve"> REINF,FRONT DECK LH</v>
          </cell>
          <cell r="G418">
            <v>1</v>
          </cell>
          <cell r="AZ418" t="str">
            <v>B</v>
          </cell>
          <cell r="BA418" t="str">
            <v>삼아</v>
          </cell>
          <cell r="BB418" t="str">
            <v>H50A18K</v>
          </cell>
          <cell r="BD418" t="str">
            <v>D981</v>
          </cell>
          <cell r="BE418" t="str">
            <v>ALL</v>
          </cell>
          <cell r="BI418">
            <v>0</v>
          </cell>
          <cell r="BJ418">
            <v>0</v>
          </cell>
          <cell r="BK418">
            <v>0</v>
          </cell>
          <cell r="BL418">
            <v>0</v>
          </cell>
          <cell r="BM418"/>
          <cell r="BN418"/>
          <cell r="BO418"/>
          <cell r="BP418"/>
          <cell r="BQ418"/>
          <cell r="BR418"/>
          <cell r="BS418"/>
          <cell r="BT418"/>
          <cell r="BU418"/>
          <cell r="BV418"/>
          <cell r="BW418"/>
          <cell r="BX418"/>
          <cell r="BY418"/>
          <cell r="BZ418"/>
          <cell r="CA418"/>
          <cell r="CB418"/>
          <cell r="CC418"/>
          <cell r="CD418"/>
          <cell r="CE418"/>
          <cell r="CF418"/>
          <cell r="CG418"/>
          <cell r="CH418"/>
          <cell r="CI418"/>
          <cell r="CJ418"/>
          <cell r="CK418"/>
        </row>
        <row r="419">
          <cell r="C419">
            <v>2584</v>
          </cell>
          <cell r="D419" t="str">
            <v>MB274636A</v>
          </cell>
          <cell r="E419" t="str">
            <v xml:space="preserve"> REINF,FRONT DECK RH</v>
          </cell>
          <cell r="G419">
            <v>1</v>
          </cell>
          <cell r="AZ419" t="str">
            <v>B</v>
          </cell>
          <cell r="BA419" t="str">
            <v>삼아</v>
          </cell>
          <cell r="BB419" t="str">
            <v>H50A18K</v>
          </cell>
          <cell r="BD419" t="str">
            <v>D981</v>
          </cell>
          <cell r="BE419" t="str">
            <v>ALL</v>
          </cell>
          <cell r="BI419">
            <v>0</v>
          </cell>
          <cell r="BJ419">
            <v>0</v>
          </cell>
          <cell r="BK419">
            <v>0</v>
          </cell>
          <cell r="BL419">
            <v>0</v>
          </cell>
          <cell r="BM419"/>
          <cell r="BN419"/>
          <cell r="BO419"/>
          <cell r="BP419"/>
          <cell r="BQ419"/>
          <cell r="BR419"/>
          <cell r="BS419"/>
          <cell r="BT419"/>
          <cell r="BU419"/>
          <cell r="BV419"/>
          <cell r="BW419"/>
          <cell r="BX419"/>
          <cell r="BY419"/>
          <cell r="BZ419"/>
          <cell r="CA419"/>
          <cell r="CB419"/>
          <cell r="CC419"/>
          <cell r="CD419"/>
          <cell r="CE419"/>
          <cell r="CF419"/>
          <cell r="CG419"/>
          <cell r="CH419"/>
          <cell r="CI419"/>
          <cell r="CJ419"/>
          <cell r="CK419"/>
        </row>
        <row r="420">
          <cell r="C420">
            <v>1892</v>
          </cell>
          <cell r="D420" t="str">
            <v>MB274699</v>
          </cell>
          <cell r="E420" t="str">
            <v xml:space="preserve"> REINF,QTR PANEL OTR LH</v>
          </cell>
          <cell r="I420">
            <v>1</v>
          </cell>
          <cell r="J420">
            <v>1</v>
          </cell>
          <cell r="K420">
            <v>1</v>
          </cell>
          <cell r="O420">
            <v>1</v>
          </cell>
          <cell r="Q420">
            <v>1</v>
          </cell>
          <cell r="S420">
            <v>1</v>
          </cell>
          <cell r="T420">
            <v>1</v>
          </cell>
          <cell r="V420">
            <v>1</v>
          </cell>
          <cell r="X420">
            <v>1</v>
          </cell>
          <cell r="Y420">
            <v>1</v>
          </cell>
          <cell r="Z420">
            <v>1</v>
          </cell>
          <cell r="AA420">
            <v>1</v>
          </cell>
          <cell r="AE420">
            <v>1</v>
          </cell>
          <cell r="AG420">
            <v>1</v>
          </cell>
          <cell r="AI420">
            <v>1</v>
          </cell>
          <cell r="AJ420">
            <v>1</v>
          </cell>
          <cell r="AK420">
            <v>1</v>
          </cell>
          <cell r="AQ420">
            <v>1</v>
          </cell>
          <cell r="AR420">
            <v>1</v>
          </cell>
          <cell r="AS420">
            <v>1</v>
          </cell>
          <cell r="AT420">
            <v>1</v>
          </cell>
          <cell r="AU420">
            <v>1</v>
          </cell>
          <cell r="AV420">
            <v>1</v>
          </cell>
          <cell r="AX420">
            <v>1</v>
          </cell>
          <cell r="AY420">
            <v>1</v>
          </cell>
          <cell r="AZ420" t="str">
            <v>B</v>
          </cell>
          <cell r="BA420" t="str">
            <v>삼아</v>
          </cell>
          <cell r="BB420" t="str">
            <v>H50A17K</v>
          </cell>
          <cell r="BD420" t="str">
            <v>D981</v>
          </cell>
          <cell r="BI420">
            <v>888</v>
          </cell>
          <cell r="BJ420">
            <v>458</v>
          </cell>
          <cell r="BK420">
            <v>90</v>
          </cell>
          <cell r="BL420">
            <v>100</v>
          </cell>
          <cell r="BM420"/>
          <cell r="BN420"/>
          <cell r="BO420"/>
          <cell r="BP420"/>
          <cell r="BQ420"/>
          <cell r="BR420"/>
          <cell r="BS420"/>
          <cell r="BT420"/>
          <cell r="BU420"/>
          <cell r="BV420"/>
          <cell r="BW420"/>
          <cell r="BX420"/>
          <cell r="BY420"/>
          <cell r="BZ420"/>
          <cell r="CA420"/>
          <cell r="CB420"/>
          <cell r="CC420"/>
          <cell r="CD420"/>
          <cell r="CE420"/>
          <cell r="CF420"/>
          <cell r="CG420"/>
          <cell r="CH420"/>
          <cell r="CI420"/>
          <cell r="CJ420"/>
          <cell r="CK420"/>
          <cell r="CL420"/>
          <cell r="CM420"/>
          <cell r="CN420"/>
          <cell r="CO420"/>
          <cell r="CP420"/>
          <cell r="CQ420"/>
        </row>
        <row r="421">
          <cell r="C421">
            <v>1892</v>
          </cell>
          <cell r="D421" t="str">
            <v>MB274700</v>
          </cell>
          <cell r="E421" t="str">
            <v xml:space="preserve"> REINF,QTR PANEL OTR LH</v>
          </cell>
          <cell r="I421">
            <v>1</v>
          </cell>
          <cell r="J421">
            <v>1</v>
          </cell>
          <cell r="K421">
            <v>1</v>
          </cell>
          <cell r="O421">
            <v>1</v>
          </cell>
          <cell r="Q421">
            <v>1</v>
          </cell>
          <cell r="S421">
            <v>1</v>
          </cell>
          <cell r="T421">
            <v>1</v>
          </cell>
          <cell r="V421">
            <v>1</v>
          </cell>
          <cell r="X421">
            <v>1</v>
          </cell>
          <cell r="Y421">
            <v>1</v>
          </cell>
          <cell r="Z421">
            <v>1</v>
          </cell>
          <cell r="AA421">
            <v>1</v>
          </cell>
          <cell r="AE421">
            <v>1</v>
          </cell>
          <cell r="AG421">
            <v>1</v>
          </cell>
          <cell r="AI421">
            <v>1</v>
          </cell>
          <cell r="AJ421">
            <v>1</v>
          </cell>
          <cell r="AK421">
            <v>1</v>
          </cell>
          <cell r="AQ421">
            <v>1</v>
          </cell>
          <cell r="AR421">
            <v>1</v>
          </cell>
          <cell r="AS421">
            <v>1</v>
          </cell>
          <cell r="AT421">
            <v>1</v>
          </cell>
          <cell r="AU421">
            <v>1</v>
          </cell>
          <cell r="AV421">
            <v>1</v>
          </cell>
          <cell r="AX421">
            <v>1</v>
          </cell>
          <cell r="AY421">
            <v>1</v>
          </cell>
          <cell r="AZ421" t="str">
            <v>B</v>
          </cell>
          <cell r="BA421" t="str">
            <v>삼아</v>
          </cell>
          <cell r="BB421" t="str">
            <v>H50A17K</v>
          </cell>
          <cell r="BD421" t="str">
            <v>D981</v>
          </cell>
          <cell r="BI421">
            <v>888</v>
          </cell>
          <cell r="BJ421">
            <v>458</v>
          </cell>
          <cell r="BK421">
            <v>90</v>
          </cell>
          <cell r="BL421">
            <v>100</v>
          </cell>
          <cell r="BM421"/>
          <cell r="BN421"/>
          <cell r="BO421"/>
          <cell r="BP421"/>
          <cell r="BQ421"/>
          <cell r="BR421"/>
          <cell r="BS421"/>
          <cell r="BT421"/>
          <cell r="BU421"/>
          <cell r="BV421"/>
          <cell r="BW421"/>
          <cell r="BX421"/>
          <cell r="BY421"/>
          <cell r="BZ421"/>
          <cell r="CA421"/>
          <cell r="CB421"/>
          <cell r="CC421"/>
          <cell r="CD421"/>
          <cell r="CE421"/>
          <cell r="CF421"/>
          <cell r="CG421"/>
          <cell r="CH421"/>
          <cell r="CI421"/>
          <cell r="CJ421"/>
          <cell r="CK421"/>
          <cell r="CL421"/>
          <cell r="CM421"/>
          <cell r="CN421"/>
          <cell r="CO421"/>
          <cell r="CP421"/>
          <cell r="CQ421"/>
        </row>
        <row r="422">
          <cell r="C422">
            <v>1892</v>
          </cell>
          <cell r="D422" t="str">
            <v>MB275125</v>
          </cell>
          <cell r="E422" t="str">
            <v xml:space="preserve"> REINF,SIDE SILL LH</v>
          </cell>
          <cell r="I422">
            <v>1</v>
          </cell>
          <cell r="J422">
            <v>1</v>
          </cell>
          <cell r="K422">
            <v>1</v>
          </cell>
          <cell r="O422">
            <v>1</v>
          </cell>
          <cell r="Q422">
            <v>1</v>
          </cell>
          <cell r="S422">
            <v>1</v>
          </cell>
          <cell r="T422">
            <v>1</v>
          </cell>
          <cell r="V422">
            <v>1</v>
          </cell>
          <cell r="X422">
            <v>1</v>
          </cell>
          <cell r="Y422">
            <v>1</v>
          </cell>
          <cell r="Z422">
            <v>1</v>
          </cell>
          <cell r="AA422">
            <v>1</v>
          </cell>
          <cell r="AE422">
            <v>1</v>
          </cell>
          <cell r="AG422">
            <v>1</v>
          </cell>
          <cell r="AI422">
            <v>1</v>
          </cell>
          <cell r="AJ422">
            <v>1</v>
          </cell>
          <cell r="AK422">
            <v>1</v>
          </cell>
          <cell r="AQ422">
            <v>1</v>
          </cell>
          <cell r="AR422">
            <v>1</v>
          </cell>
          <cell r="AS422">
            <v>1</v>
          </cell>
          <cell r="AT422">
            <v>1</v>
          </cell>
          <cell r="AU422">
            <v>1</v>
          </cell>
          <cell r="AV422">
            <v>1</v>
          </cell>
          <cell r="AX422">
            <v>1</v>
          </cell>
          <cell r="AY422">
            <v>1</v>
          </cell>
          <cell r="AZ422" t="str">
            <v>B</v>
          </cell>
          <cell r="BA422" t="str">
            <v>삼아</v>
          </cell>
          <cell r="BB422" t="str">
            <v>H50A17K</v>
          </cell>
          <cell r="BD422" t="str">
            <v>D981</v>
          </cell>
          <cell r="BI422">
            <v>888</v>
          </cell>
          <cell r="BJ422">
            <v>458</v>
          </cell>
          <cell r="BK422">
            <v>90</v>
          </cell>
          <cell r="BL422">
            <v>100</v>
          </cell>
          <cell r="BM422"/>
          <cell r="BN422"/>
          <cell r="BO422"/>
          <cell r="BP422"/>
          <cell r="BQ422"/>
          <cell r="BR422"/>
          <cell r="BS422"/>
          <cell r="BT422"/>
          <cell r="BU422"/>
          <cell r="BV422"/>
          <cell r="BW422"/>
          <cell r="BX422"/>
          <cell r="BY422"/>
          <cell r="BZ422"/>
          <cell r="CA422"/>
          <cell r="CB422"/>
          <cell r="CC422"/>
          <cell r="CD422"/>
          <cell r="CE422"/>
          <cell r="CF422"/>
          <cell r="CG422"/>
          <cell r="CH422"/>
          <cell r="CI422"/>
          <cell r="CJ422"/>
          <cell r="CK422"/>
          <cell r="CL422"/>
          <cell r="CM422"/>
          <cell r="CN422"/>
          <cell r="CO422"/>
          <cell r="CP422"/>
          <cell r="CQ422"/>
        </row>
        <row r="423">
          <cell r="C423">
            <v>1892</v>
          </cell>
          <cell r="D423" t="str">
            <v>MB275126</v>
          </cell>
          <cell r="E423" t="str">
            <v xml:space="preserve"> REINF,SIDE SILL RH</v>
          </cell>
          <cell r="I423">
            <v>1</v>
          </cell>
          <cell r="J423">
            <v>1</v>
          </cell>
          <cell r="K423">
            <v>1</v>
          </cell>
          <cell r="O423">
            <v>1</v>
          </cell>
          <cell r="Q423">
            <v>1</v>
          </cell>
          <cell r="S423">
            <v>1</v>
          </cell>
          <cell r="T423">
            <v>1</v>
          </cell>
          <cell r="V423">
            <v>1</v>
          </cell>
          <cell r="X423">
            <v>1</v>
          </cell>
          <cell r="Y423">
            <v>1</v>
          </cell>
          <cell r="Z423">
            <v>1</v>
          </cell>
          <cell r="AA423">
            <v>1</v>
          </cell>
          <cell r="AE423">
            <v>1</v>
          </cell>
          <cell r="AG423">
            <v>1</v>
          </cell>
          <cell r="AI423">
            <v>1</v>
          </cell>
          <cell r="AJ423">
            <v>1</v>
          </cell>
          <cell r="AK423">
            <v>1</v>
          </cell>
          <cell r="AQ423">
            <v>1</v>
          </cell>
          <cell r="AR423">
            <v>1</v>
          </cell>
          <cell r="AS423">
            <v>1</v>
          </cell>
          <cell r="AT423">
            <v>1</v>
          </cell>
          <cell r="AU423">
            <v>1</v>
          </cell>
          <cell r="AV423">
            <v>1</v>
          </cell>
          <cell r="AX423">
            <v>1</v>
          </cell>
          <cell r="AY423">
            <v>1</v>
          </cell>
          <cell r="AZ423" t="str">
            <v>B</v>
          </cell>
          <cell r="BA423" t="str">
            <v>삼아</v>
          </cell>
          <cell r="BB423" t="str">
            <v>H50A17K</v>
          </cell>
          <cell r="BD423" t="str">
            <v>D981</v>
          </cell>
          <cell r="BI423">
            <v>888</v>
          </cell>
          <cell r="BJ423">
            <v>458</v>
          </cell>
          <cell r="BK423">
            <v>90</v>
          </cell>
          <cell r="BL423">
            <v>100</v>
          </cell>
          <cell r="BM423"/>
          <cell r="BN423"/>
          <cell r="BO423"/>
          <cell r="BP423"/>
          <cell r="BQ423"/>
          <cell r="BR423"/>
          <cell r="BS423"/>
          <cell r="BT423"/>
          <cell r="BU423"/>
          <cell r="BV423"/>
          <cell r="BW423"/>
          <cell r="BX423"/>
          <cell r="BY423"/>
          <cell r="BZ423"/>
          <cell r="CA423"/>
          <cell r="CB423"/>
          <cell r="CC423"/>
          <cell r="CD423"/>
          <cell r="CE423"/>
          <cell r="CF423"/>
          <cell r="CG423"/>
          <cell r="CH423"/>
          <cell r="CI423"/>
          <cell r="CJ423"/>
          <cell r="CK423"/>
          <cell r="CL423"/>
          <cell r="CM423"/>
          <cell r="CN423"/>
          <cell r="CO423"/>
          <cell r="CP423"/>
          <cell r="CQ423"/>
        </row>
        <row r="424">
          <cell r="C424">
            <v>247</v>
          </cell>
          <cell r="D424" t="str">
            <v>MB275849A</v>
          </cell>
          <cell r="E424" t="str">
            <v xml:space="preserve"> REINF-FENDER SHIELD RR LH</v>
          </cell>
          <cell r="F424" t="str">
            <v>수출ALL</v>
          </cell>
          <cell r="AE424">
            <v>1</v>
          </cell>
          <cell r="AF424">
            <v>1</v>
          </cell>
          <cell r="AG424">
            <v>1</v>
          </cell>
          <cell r="AH424">
            <v>1</v>
          </cell>
          <cell r="AI424">
            <v>1</v>
          </cell>
          <cell r="AJ424">
            <v>1</v>
          </cell>
          <cell r="AK424">
            <v>1</v>
          </cell>
          <cell r="AL424">
            <v>1</v>
          </cell>
          <cell r="AM424">
            <v>1</v>
          </cell>
          <cell r="AN424">
            <v>1</v>
          </cell>
          <cell r="AO424">
            <v>1</v>
          </cell>
          <cell r="AP424">
            <v>1</v>
          </cell>
          <cell r="AQ424">
            <v>1</v>
          </cell>
          <cell r="AR424">
            <v>1</v>
          </cell>
          <cell r="AS424">
            <v>1</v>
          </cell>
          <cell r="AT424">
            <v>1</v>
          </cell>
          <cell r="AU424">
            <v>1</v>
          </cell>
          <cell r="AV424">
            <v>1</v>
          </cell>
          <cell r="AW424">
            <v>1</v>
          </cell>
          <cell r="AX424">
            <v>1</v>
          </cell>
          <cell r="AY424">
            <v>1</v>
          </cell>
          <cell r="AZ424" t="str">
            <v>B</v>
          </cell>
          <cell r="BA424" t="str">
            <v>삼아</v>
          </cell>
          <cell r="BB424" t="str">
            <v>H50A14K01-62,63,64</v>
          </cell>
          <cell r="BD424" t="str">
            <v>D981</v>
          </cell>
          <cell r="BE424" t="str">
            <v>CHAINA</v>
          </cell>
          <cell r="BI424">
            <v>0</v>
          </cell>
          <cell r="BJ424">
            <v>0</v>
          </cell>
          <cell r="BK424">
            <v>118</v>
          </cell>
          <cell r="BL424">
            <v>102</v>
          </cell>
          <cell r="BM424"/>
          <cell r="BN424"/>
          <cell r="BO424"/>
          <cell r="BP424"/>
          <cell r="BQ424"/>
          <cell r="BR424"/>
          <cell r="BS424"/>
          <cell r="BT424"/>
          <cell r="BU424"/>
          <cell r="BV424"/>
          <cell r="BW424"/>
          <cell r="BX424"/>
          <cell r="BY424"/>
          <cell r="BZ424"/>
          <cell r="CA424"/>
          <cell r="CB424"/>
          <cell r="CC424"/>
          <cell r="CD424"/>
          <cell r="CE424"/>
          <cell r="CF424"/>
          <cell r="CG424"/>
          <cell r="CH424"/>
          <cell r="CI424"/>
          <cell r="CJ424"/>
          <cell r="CK424"/>
        </row>
        <row r="425">
          <cell r="C425">
            <v>247</v>
          </cell>
          <cell r="D425" t="str">
            <v>MB275850A</v>
          </cell>
          <cell r="E425" t="str">
            <v xml:space="preserve"> REINF-FENDER SHIELD RR RH</v>
          </cell>
          <cell r="F425" t="str">
            <v>수출ALL</v>
          </cell>
          <cell r="AE425">
            <v>1</v>
          </cell>
          <cell r="AF425">
            <v>1</v>
          </cell>
          <cell r="AG425">
            <v>1</v>
          </cell>
          <cell r="AH425">
            <v>1</v>
          </cell>
          <cell r="AI425">
            <v>1</v>
          </cell>
          <cell r="AJ425">
            <v>1</v>
          </cell>
          <cell r="AK425">
            <v>1</v>
          </cell>
          <cell r="AL425">
            <v>1</v>
          </cell>
          <cell r="AM425">
            <v>1</v>
          </cell>
          <cell r="AN425">
            <v>1</v>
          </cell>
          <cell r="AO425">
            <v>1</v>
          </cell>
          <cell r="AP425">
            <v>1</v>
          </cell>
          <cell r="AQ425">
            <v>1</v>
          </cell>
          <cell r="AR425">
            <v>1</v>
          </cell>
          <cell r="AS425">
            <v>1</v>
          </cell>
          <cell r="AT425">
            <v>1</v>
          </cell>
          <cell r="AU425">
            <v>1</v>
          </cell>
          <cell r="AV425">
            <v>1</v>
          </cell>
          <cell r="AW425">
            <v>1</v>
          </cell>
          <cell r="AX425">
            <v>1</v>
          </cell>
          <cell r="AY425">
            <v>1</v>
          </cell>
          <cell r="AZ425" t="str">
            <v>B</v>
          </cell>
          <cell r="BA425" t="str">
            <v>삼아</v>
          </cell>
          <cell r="BB425" t="str">
            <v>H50A14K01-62,63,64</v>
          </cell>
          <cell r="BD425" t="str">
            <v>D981</v>
          </cell>
          <cell r="BE425" t="str">
            <v>CHAINA</v>
          </cell>
          <cell r="BI425">
            <v>0</v>
          </cell>
          <cell r="BJ425">
            <v>0</v>
          </cell>
          <cell r="BK425">
            <v>118</v>
          </cell>
          <cell r="BL425">
            <v>102</v>
          </cell>
          <cell r="BM425"/>
          <cell r="BN425"/>
          <cell r="BO425"/>
          <cell r="BP425"/>
          <cell r="BQ425"/>
          <cell r="BR425"/>
          <cell r="BS425"/>
          <cell r="BT425"/>
          <cell r="BU425"/>
          <cell r="BV425"/>
          <cell r="BW425"/>
          <cell r="BX425"/>
          <cell r="BY425"/>
          <cell r="BZ425"/>
          <cell r="CA425"/>
          <cell r="CB425"/>
          <cell r="CC425"/>
          <cell r="CD425"/>
          <cell r="CE425"/>
          <cell r="CF425"/>
          <cell r="CG425"/>
          <cell r="CH425"/>
          <cell r="CI425"/>
          <cell r="CJ425"/>
          <cell r="CK425"/>
        </row>
        <row r="426">
          <cell r="C426">
            <v>851</v>
          </cell>
          <cell r="D426" t="str">
            <v>MB275941</v>
          </cell>
          <cell r="E426" t="str">
            <v xml:space="preserve"> PANEL,HEAT  PROTECTOR RR</v>
          </cell>
          <cell r="N426">
            <v>1</v>
          </cell>
          <cell r="O426">
            <v>1</v>
          </cell>
          <cell r="P426">
            <v>1</v>
          </cell>
          <cell r="Q426">
            <v>1</v>
          </cell>
          <cell r="W426">
            <v>1</v>
          </cell>
          <cell r="X426">
            <v>1</v>
          </cell>
          <cell r="AE426">
            <v>1</v>
          </cell>
          <cell r="AH426">
            <v>1</v>
          </cell>
          <cell r="AI426">
            <v>1</v>
          </cell>
          <cell r="AN426">
            <v>1</v>
          </cell>
          <cell r="AP426">
            <v>1</v>
          </cell>
          <cell r="AR426">
            <v>1</v>
          </cell>
          <cell r="AT426">
            <v>1</v>
          </cell>
          <cell r="AW426">
            <v>1</v>
          </cell>
          <cell r="AY426">
            <v>1</v>
          </cell>
          <cell r="AZ426" t="str">
            <v>T</v>
          </cell>
          <cell r="BA426" t="str">
            <v>삼아</v>
          </cell>
          <cell r="BB426" t="str">
            <v>H50C25K01-3,4</v>
          </cell>
          <cell r="BD426" t="str">
            <v>D981</v>
          </cell>
          <cell r="BE426" t="str">
            <v>V6,TCI</v>
          </cell>
          <cell r="BI426" t="e">
            <v>#REF!</v>
          </cell>
          <cell r="BJ426" t="e">
            <v>#REF!</v>
          </cell>
          <cell r="BK426" t="e">
            <v>#REF!</v>
          </cell>
          <cell r="BL426" t="e">
            <v>#REF!</v>
          </cell>
          <cell r="BM426"/>
          <cell r="BN426"/>
          <cell r="BO426"/>
          <cell r="BP426"/>
          <cell r="BQ426"/>
          <cell r="BR426"/>
          <cell r="BS426"/>
          <cell r="BT426"/>
          <cell r="BU426"/>
          <cell r="BV426"/>
          <cell r="BW426"/>
          <cell r="BX426"/>
          <cell r="BY426"/>
          <cell r="BZ426"/>
          <cell r="CA426"/>
          <cell r="CB426"/>
          <cell r="CC426"/>
          <cell r="CD426"/>
          <cell r="CE426"/>
          <cell r="CF426"/>
          <cell r="CG426"/>
          <cell r="CH426"/>
          <cell r="CI426"/>
          <cell r="CJ426"/>
          <cell r="CK426"/>
          <cell r="CL426"/>
          <cell r="CM426"/>
          <cell r="CN426"/>
          <cell r="CO426"/>
          <cell r="CP426"/>
          <cell r="CQ426"/>
        </row>
        <row r="427">
          <cell r="C427">
            <v>130</v>
          </cell>
          <cell r="D427" t="str">
            <v>MB591316</v>
          </cell>
          <cell r="E427" t="str">
            <v xml:space="preserve"> PANEL,H/PROT</v>
          </cell>
          <cell r="W427">
            <v>1</v>
          </cell>
          <cell r="X427">
            <v>1</v>
          </cell>
          <cell r="AE427">
            <v>1</v>
          </cell>
          <cell r="AH427">
            <v>1</v>
          </cell>
          <cell r="AI427">
            <v>1</v>
          </cell>
          <cell r="AN427">
            <v>1</v>
          </cell>
          <cell r="AP427">
            <v>1</v>
          </cell>
          <cell r="AR427">
            <v>1</v>
          </cell>
          <cell r="AT427">
            <v>1</v>
          </cell>
          <cell r="AW427">
            <v>1</v>
          </cell>
          <cell r="AY427">
            <v>1</v>
          </cell>
          <cell r="AZ427" t="str">
            <v>T</v>
          </cell>
          <cell r="BA427" t="str">
            <v>삼아</v>
          </cell>
          <cell r="BB427" t="str">
            <v>H50C25K</v>
          </cell>
          <cell r="BD427" t="str">
            <v>D981</v>
          </cell>
          <cell r="BE427" t="str">
            <v>V6</v>
          </cell>
          <cell r="BI427" t="e">
            <v>#REF!</v>
          </cell>
          <cell r="BJ427" t="e">
            <v>#REF!</v>
          </cell>
          <cell r="BK427" t="e">
            <v>#REF!</v>
          </cell>
          <cell r="BL427" t="e">
            <v>#REF!</v>
          </cell>
          <cell r="BM427"/>
          <cell r="BN427"/>
          <cell r="BO427"/>
          <cell r="BP427"/>
          <cell r="BQ427"/>
          <cell r="BR427"/>
          <cell r="BS427"/>
          <cell r="BT427"/>
          <cell r="BU427"/>
          <cell r="BV427"/>
          <cell r="BW427"/>
          <cell r="BX427"/>
          <cell r="BY427"/>
          <cell r="BZ427"/>
          <cell r="CA427"/>
          <cell r="CB427"/>
          <cell r="CC427"/>
          <cell r="CD427"/>
          <cell r="CE427"/>
          <cell r="CF427"/>
          <cell r="CG427"/>
          <cell r="CH427"/>
          <cell r="CI427"/>
          <cell r="CJ427"/>
          <cell r="CK427"/>
          <cell r="CL427"/>
          <cell r="CM427"/>
          <cell r="CN427"/>
          <cell r="CO427"/>
          <cell r="CP427"/>
          <cell r="CQ427"/>
        </row>
        <row r="428">
          <cell r="C428">
            <v>130</v>
          </cell>
          <cell r="D428" t="str">
            <v>MB591397</v>
          </cell>
          <cell r="E428" t="str">
            <v xml:space="preserve"> PANEL,H/PROT</v>
          </cell>
          <cell r="W428">
            <v>1</v>
          </cell>
          <cell r="X428">
            <v>1</v>
          </cell>
          <cell r="AE428">
            <v>1</v>
          </cell>
          <cell r="AH428">
            <v>1</v>
          </cell>
          <cell r="AI428">
            <v>1</v>
          </cell>
          <cell r="AN428">
            <v>1</v>
          </cell>
          <cell r="AP428">
            <v>1</v>
          </cell>
          <cell r="AR428">
            <v>1</v>
          </cell>
          <cell r="AT428">
            <v>1</v>
          </cell>
          <cell r="AW428">
            <v>1</v>
          </cell>
          <cell r="AY428">
            <v>1</v>
          </cell>
          <cell r="AZ428" t="str">
            <v>T</v>
          </cell>
          <cell r="BA428" t="str">
            <v>삼아</v>
          </cell>
          <cell r="BB428" t="str">
            <v>H50C25K</v>
          </cell>
          <cell r="BD428" t="str">
            <v>D981</v>
          </cell>
          <cell r="BE428" t="str">
            <v>V6</v>
          </cell>
          <cell r="BI428" t="e">
            <v>#REF!</v>
          </cell>
          <cell r="BJ428" t="e">
            <v>#REF!</v>
          </cell>
          <cell r="BK428" t="e">
            <v>#REF!</v>
          </cell>
          <cell r="BL428" t="e">
            <v>#REF!</v>
          </cell>
          <cell r="BM428"/>
          <cell r="BN428"/>
          <cell r="BO428"/>
          <cell r="BP428"/>
          <cell r="BQ428"/>
          <cell r="BR428"/>
          <cell r="BS428"/>
          <cell r="BT428"/>
          <cell r="BU428"/>
          <cell r="BV428"/>
          <cell r="BW428"/>
          <cell r="BX428"/>
          <cell r="BY428"/>
          <cell r="BZ428"/>
          <cell r="CA428"/>
          <cell r="CB428"/>
          <cell r="CC428"/>
          <cell r="CD428"/>
          <cell r="CE428"/>
          <cell r="CF428"/>
          <cell r="CG428"/>
          <cell r="CH428"/>
          <cell r="CI428"/>
          <cell r="CJ428"/>
          <cell r="CK428"/>
          <cell r="CL428"/>
          <cell r="CM428"/>
          <cell r="CN428"/>
          <cell r="CO428"/>
          <cell r="CP428"/>
          <cell r="CQ428"/>
        </row>
        <row r="429">
          <cell r="C429">
            <v>2584</v>
          </cell>
          <cell r="D429" t="str">
            <v>MB591449</v>
          </cell>
          <cell r="E429" t="str">
            <v xml:space="preserve"> PATCH,CORNER LH</v>
          </cell>
          <cell r="G429">
            <v>1</v>
          </cell>
          <cell r="AZ429" t="str">
            <v>B</v>
          </cell>
          <cell r="BA429" t="str">
            <v>삼아</v>
          </cell>
          <cell r="BB429" t="str">
            <v>H50A17K</v>
          </cell>
          <cell r="BD429" t="str">
            <v>D981</v>
          </cell>
          <cell r="BE429" t="str">
            <v>ALL</v>
          </cell>
          <cell r="BI429">
            <v>0</v>
          </cell>
          <cell r="BJ429">
            <v>0</v>
          </cell>
          <cell r="BK429">
            <v>0</v>
          </cell>
          <cell r="BL429">
            <v>0</v>
          </cell>
          <cell r="BM429"/>
          <cell r="BN429"/>
          <cell r="BO429"/>
          <cell r="BP429"/>
          <cell r="BQ429"/>
          <cell r="BR429"/>
          <cell r="BS429"/>
          <cell r="BT429"/>
          <cell r="BU429"/>
          <cell r="BV429"/>
          <cell r="BW429"/>
          <cell r="BX429"/>
          <cell r="BY429"/>
          <cell r="BZ429"/>
          <cell r="CA429"/>
          <cell r="CB429"/>
          <cell r="CC429"/>
          <cell r="CD429"/>
          <cell r="CE429"/>
          <cell r="CF429"/>
          <cell r="CG429"/>
          <cell r="CH429"/>
          <cell r="CI429"/>
          <cell r="CJ429"/>
          <cell r="CK429"/>
        </row>
        <row r="430">
          <cell r="C430">
            <v>2584</v>
          </cell>
          <cell r="D430" t="str">
            <v>MB591450</v>
          </cell>
          <cell r="E430" t="str">
            <v xml:space="preserve"> PATCH,CORNER RH </v>
          </cell>
          <cell r="G430">
            <v>1</v>
          </cell>
          <cell r="AZ430" t="str">
            <v>B</v>
          </cell>
          <cell r="BA430" t="str">
            <v>삼아</v>
          </cell>
          <cell r="BB430" t="str">
            <v>H50A17K</v>
          </cell>
          <cell r="BD430" t="str">
            <v>D981</v>
          </cell>
          <cell r="BE430" t="str">
            <v>ALL</v>
          </cell>
          <cell r="BI430">
            <v>0</v>
          </cell>
          <cell r="BJ430">
            <v>0</v>
          </cell>
          <cell r="BK430">
            <v>0</v>
          </cell>
          <cell r="BL430">
            <v>0</v>
          </cell>
          <cell r="BM430"/>
          <cell r="BN430"/>
          <cell r="BO430"/>
          <cell r="BP430"/>
          <cell r="BQ430"/>
          <cell r="BR430"/>
          <cell r="BS430"/>
          <cell r="BT430"/>
          <cell r="BU430"/>
          <cell r="BV430"/>
          <cell r="BW430"/>
          <cell r="BX430"/>
          <cell r="BY430"/>
          <cell r="BZ430"/>
          <cell r="CA430"/>
          <cell r="CB430"/>
          <cell r="CC430"/>
          <cell r="CD430"/>
          <cell r="CE430"/>
          <cell r="CF430"/>
          <cell r="CG430"/>
          <cell r="CH430"/>
          <cell r="CI430"/>
          <cell r="CJ430"/>
          <cell r="CK430"/>
        </row>
        <row r="431">
          <cell r="C431">
            <v>1995</v>
          </cell>
          <cell r="D431" t="str">
            <v>MB591465A</v>
          </cell>
          <cell r="E431" t="str">
            <v xml:space="preserve"> RAIL,SIDE ROOF,INR LH</v>
          </cell>
          <cell r="J431">
            <v>1</v>
          </cell>
          <cell r="K431">
            <v>1</v>
          </cell>
          <cell r="L431">
            <v>1</v>
          </cell>
          <cell r="M431">
            <v>1</v>
          </cell>
          <cell r="N431">
            <v>1</v>
          </cell>
          <cell r="O431">
            <v>1</v>
          </cell>
          <cell r="P431">
            <v>1</v>
          </cell>
          <cell r="Q431">
            <v>1</v>
          </cell>
          <cell r="S431">
            <v>1</v>
          </cell>
          <cell r="T431">
            <v>1</v>
          </cell>
          <cell r="U431">
            <v>1</v>
          </cell>
          <cell r="V431">
            <v>1</v>
          </cell>
          <cell r="W431">
            <v>1</v>
          </cell>
          <cell r="X431">
            <v>1</v>
          </cell>
          <cell r="Y431">
            <v>1</v>
          </cell>
          <cell r="Z431">
            <v>1</v>
          </cell>
          <cell r="AA431">
            <v>1</v>
          </cell>
          <cell r="AD431">
            <v>1</v>
          </cell>
          <cell r="AE431">
            <v>1</v>
          </cell>
          <cell r="AH431">
            <v>1</v>
          </cell>
          <cell r="AI431">
            <v>1</v>
          </cell>
          <cell r="AJ431">
            <v>1</v>
          </cell>
          <cell r="AK431">
            <v>1</v>
          </cell>
          <cell r="AL431">
            <v>1</v>
          </cell>
          <cell r="AM431">
            <v>1</v>
          </cell>
          <cell r="AN431">
            <v>1</v>
          </cell>
          <cell r="AO431">
            <v>1</v>
          </cell>
          <cell r="AP431">
            <v>1</v>
          </cell>
          <cell r="AQ431">
            <v>1</v>
          </cell>
          <cell r="AR431">
            <v>1</v>
          </cell>
          <cell r="AS431">
            <v>1</v>
          </cell>
          <cell r="AT431">
            <v>1</v>
          </cell>
          <cell r="AU431">
            <v>1</v>
          </cell>
          <cell r="AV431">
            <v>1</v>
          </cell>
          <cell r="AW431">
            <v>1</v>
          </cell>
          <cell r="AX431">
            <v>1</v>
          </cell>
          <cell r="AY431">
            <v>1</v>
          </cell>
          <cell r="AZ431" t="str">
            <v>B</v>
          </cell>
          <cell r="BA431" t="str">
            <v>삼아</v>
          </cell>
          <cell r="BB431" t="str">
            <v>H50A16K</v>
          </cell>
          <cell r="BC431" t="str">
            <v>LINE H/R추가사용</v>
          </cell>
          <cell r="BD431" t="str">
            <v>D981</v>
          </cell>
          <cell r="BI431">
            <v>917</v>
          </cell>
          <cell r="BJ431">
            <v>458</v>
          </cell>
          <cell r="BK431">
            <v>118</v>
          </cell>
          <cell r="BL431">
            <v>102</v>
          </cell>
          <cell r="BM431"/>
          <cell r="BN431"/>
          <cell r="BO431"/>
          <cell r="BP431"/>
          <cell r="BQ431"/>
          <cell r="BR431"/>
          <cell r="BS431"/>
          <cell r="BT431"/>
          <cell r="BU431"/>
          <cell r="BV431"/>
          <cell r="BW431"/>
          <cell r="BX431"/>
          <cell r="BY431"/>
          <cell r="BZ431"/>
          <cell r="CA431"/>
          <cell r="CB431"/>
          <cell r="CC431"/>
          <cell r="CD431"/>
          <cell r="CE431"/>
          <cell r="CF431"/>
          <cell r="CG431"/>
          <cell r="CH431"/>
          <cell r="CI431"/>
          <cell r="CJ431"/>
          <cell r="CK431"/>
          <cell r="CL431"/>
          <cell r="CM431"/>
          <cell r="CN431"/>
          <cell r="CO431"/>
          <cell r="CP431"/>
          <cell r="CQ431"/>
        </row>
        <row r="432">
          <cell r="C432">
            <v>1995</v>
          </cell>
          <cell r="D432" t="str">
            <v>MB591466A</v>
          </cell>
          <cell r="E432" t="str">
            <v xml:space="preserve"> RAIL,SIDE ROOF,INR RH</v>
          </cell>
          <cell r="J432">
            <v>1</v>
          </cell>
          <cell r="K432">
            <v>1</v>
          </cell>
          <cell r="L432">
            <v>1</v>
          </cell>
          <cell r="M432">
            <v>1</v>
          </cell>
          <cell r="N432">
            <v>1</v>
          </cell>
          <cell r="O432">
            <v>1</v>
          </cell>
          <cell r="P432">
            <v>1</v>
          </cell>
          <cell r="Q432">
            <v>1</v>
          </cell>
          <cell r="S432">
            <v>1</v>
          </cell>
          <cell r="T432">
            <v>1</v>
          </cell>
          <cell r="U432">
            <v>1</v>
          </cell>
          <cell r="V432">
            <v>1</v>
          </cell>
          <cell r="W432">
            <v>1</v>
          </cell>
          <cell r="X432">
            <v>1</v>
          </cell>
          <cell r="Y432">
            <v>1</v>
          </cell>
          <cell r="Z432">
            <v>1</v>
          </cell>
          <cell r="AA432">
            <v>1</v>
          </cell>
          <cell r="AD432">
            <v>1</v>
          </cell>
          <cell r="AE432">
            <v>1</v>
          </cell>
          <cell r="AH432">
            <v>1</v>
          </cell>
          <cell r="AI432">
            <v>1</v>
          </cell>
          <cell r="AJ432">
            <v>1</v>
          </cell>
          <cell r="AK432">
            <v>1</v>
          </cell>
          <cell r="AL432">
            <v>1</v>
          </cell>
          <cell r="AM432">
            <v>1</v>
          </cell>
          <cell r="AN432">
            <v>1</v>
          </cell>
          <cell r="AO432">
            <v>1</v>
          </cell>
          <cell r="AP432">
            <v>1</v>
          </cell>
          <cell r="AQ432">
            <v>1</v>
          </cell>
          <cell r="AR432">
            <v>1</v>
          </cell>
          <cell r="AS432">
            <v>1</v>
          </cell>
          <cell r="AT432">
            <v>1</v>
          </cell>
          <cell r="AU432">
            <v>1</v>
          </cell>
          <cell r="AV432">
            <v>1</v>
          </cell>
          <cell r="AW432">
            <v>1</v>
          </cell>
          <cell r="AX432">
            <v>1</v>
          </cell>
          <cell r="AY432">
            <v>1</v>
          </cell>
          <cell r="AZ432" t="str">
            <v>B</v>
          </cell>
          <cell r="BA432" t="str">
            <v>삼아</v>
          </cell>
          <cell r="BB432" t="str">
            <v>H50A16K</v>
          </cell>
          <cell r="BC432" t="str">
            <v>〃 K/UP JOB#1</v>
          </cell>
          <cell r="BD432" t="str">
            <v>D981</v>
          </cell>
          <cell r="BI432">
            <v>917</v>
          </cell>
          <cell r="BJ432">
            <v>458</v>
          </cell>
          <cell r="BK432">
            <v>118</v>
          </cell>
          <cell r="BL432">
            <v>102</v>
          </cell>
          <cell r="BM432"/>
          <cell r="BN432"/>
          <cell r="BO432"/>
          <cell r="BP432"/>
          <cell r="BQ432"/>
          <cell r="BR432"/>
          <cell r="BS432"/>
          <cell r="BT432"/>
          <cell r="BU432"/>
          <cell r="BV432"/>
          <cell r="BW432"/>
          <cell r="BX432"/>
          <cell r="BY432"/>
          <cell r="BZ432"/>
          <cell r="CA432"/>
          <cell r="CB432"/>
          <cell r="CC432"/>
          <cell r="CD432"/>
          <cell r="CE432"/>
          <cell r="CF432"/>
          <cell r="CG432"/>
          <cell r="CH432"/>
          <cell r="CI432"/>
          <cell r="CJ432"/>
          <cell r="CK432"/>
          <cell r="CL432"/>
          <cell r="CM432"/>
          <cell r="CN432"/>
          <cell r="CO432"/>
          <cell r="CP432"/>
          <cell r="CQ432"/>
        </row>
        <row r="433">
          <cell r="C433">
            <v>767</v>
          </cell>
          <cell r="D433" t="str">
            <v>MB591552</v>
          </cell>
          <cell r="E433" t="str">
            <v xml:space="preserve"> EXTN-HOOD OTR</v>
          </cell>
          <cell r="N433">
            <v>1</v>
          </cell>
          <cell r="O433">
            <v>1</v>
          </cell>
          <cell r="P433">
            <v>1</v>
          </cell>
          <cell r="Q433">
            <v>1</v>
          </cell>
          <cell r="Z433">
            <v>1</v>
          </cell>
          <cell r="AO433">
            <v>1</v>
          </cell>
          <cell r="AS433">
            <v>1</v>
          </cell>
          <cell r="AZ433" t="str">
            <v>B</v>
          </cell>
          <cell r="BA433" t="str">
            <v>삼아</v>
          </cell>
          <cell r="BB433" t="str">
            <v>H50B35K</v>
          </cell>
          <cell r="BC433" t="str">
            <v>IC1</v>
          </cell>
          <cell r="BD433" t="str">
            <v>D981</v>
          </cell>
          <cell r="BE433" t="str">
            <v>TCI</v>
          </cell>
          <cell r="BI433">
            <v>422</v>
          </cell>
          <cell r="BJ433">
            <v>0</v>
          </cell>
          <cell r="BK433">
            <v>8</v>
          </cell>
          <cell r="BL433">
            <v>29</v>
          </cell>
          <cell r="BM433"/>
          <cell r="BN433"/>
          <cell r="BO433"/>
          <cell r="BP433"/>
          <cell r="BQ433"/>
          <cell r="BR433"/>
          <cell r="BS433"/>
          <cell r="BT433"/>
          <cell r="BU433"/>
          <cell r="BV433"/>
          <cell r="BW433"/>
          <cell r="BX433"/>
          <cell r="BY433"/>
          <cell r="BZ433"/>
          <cell r="CA433"/>
          <cell r="CB433"/>
          <cell r="CC433"/>
          <cell r="CD433"/>
          <cell r="CE433"/>
          <cell r="CF433"/>
          <cell r="CG433"/>
          <cell r="CH433"/>
          <cell r="CI433"/>
          <cell r="CJ433"/>
          <cell r="CK433"/>
          <cell r="CL433"/>
        </row>
        <row r="434">
          <cell r="C434">
            <v>2454</v>
          </cell>
          <cell r="D434" t="str">
            <v>MB591583A</v>
          </cell>
          <cell r="E434" t="str">
            <v xml:space="preserve"> PANEL,H/PROT</v>
          </cell>
          <cell r="H434">
            <v>1</v>
          </cell>
          <cell r="I434">
            <v>1</v>
          </cell>
          <cell r="J434">
            <v>1</v>
          </cell>
          <cell r="K434">
            <v>1</v>
          </cell>
          <cell r="L434">
            <v>1</v>
          </cell>
          <cell r="M434">
            <v>1</v>
          </cell>
          <cell r="N434">
            <v>1</v>
          </cell>
          <cell r="O434">
            <v>1</v>
          </cell>
          <cell r="P434">
            <v>1</v>
          </cell>
          <cell r="Q434">
            <v>1</v>
          </cell>
          <cell r="R434">
            <v>1</v>
          </cell>
          <cell r="S434">
            <v>1</v>
          </cell>
          <cell r="T434">
            <v>1</v>
          </cell>
          <cell r="U434">
            <v>1</v>
          </cell>
          <cell r="V434">
            <v>1</v>
          </cell>
          <cell r="Y434">
            <v>1</v>
          </cell>
          <cell r="Z434">
            <v>1</v>
          </cell>
          <cell r="AA434">
            <v>1</v>
          </cell>
          <cell r="AB434">
            <v>1</v>
          </cell>
          <cell r="AC434">
            <v>1</v>
          </cell>
          <cell r="AD434">
            <v>1</v>
          </cell>
          <cell r="AF434">
            <v>1</v>
          </cell>
          <cell r="AG434">
            <v>1</v>
          </cell>
          <cell r="AH434"/>
          <cell r="AI434"/>
          <cell r="AJ434">
            <v>1</v>
          </cell>
          <cell r="AK434">
            <v>1</v>
          </cell>
          <cell r="AL434">
            <v>1</v>
          </cell>
          <cell r="AM434">
            <v>1</v>
          </cell>
          <cell r="AN434"/>
          <cell r="AO434">
            <v>1</v>
          </cell>
          <cell r="AP434"/>
          <cell r="AQ434">
            <v>1</v>
          </cell>
          <cell r="AR434"/>
          <cell r="AS434">
            <v>1</v>
          </cell>
          <cell r="AT434"/>
          <cell r="AU434">
            <v>1</v>
          </cell>
          <cell r="AV434">
            <v>1</v>
          </cell>
          <cell r="AW434"/>
          <cell r="AX434">
            <v>1</v>
          </cell>
          <cell r="AY434"/>
          <cell r="AZ434" t="str">
            <v>T</v>
          </cell>
          <cell r="BA434" t="str">
            <v>삼아</v>
          </cell>
          <cell r="BB434" t="str">
            <v>H50C25K</v>
          </cell>
          <cell r="BC434"/>
          <cell r="BD434" t="str">
            <v>D981</v>
          </cell>
          <cell r="BE434"/>
          <cell r="BF434"/>
          <cell r="BG434"/>
          <cell r="BH434"/>
          <cell r="BI434" t="e">
            <v>#REF!</v>
          </cell>
          <cell r="BJ434" t="e">
            <v>#REF!</v>
          </cell>
          <cell r="BK434" t="e">
            <v>#REF!</v>
          </cell>
          <cell r="BL434" t="e">
            <v>#REF!</v>
          </cell>
          <cell r="BM434"/>
          <cell r="BN434"/>
          <cell r="BO434"/>
          <cell r="BP434"/>
          <cell r="BQ434"/>
          <cell r="BR434"/>
          <cell r="BS434"/>
          <cell r="BT434"/>
          <cell r="BU434"/>
          <cell r="BV434"/>
          <cell r="BW434"/>
          <cell r="BX434"/>
          <cell r="BY434"/>
          <cell r="BZ434"/>
          <cell r="CA434"/>
          <cell r="CB434"/>
          <cell r="CC434"/>
          <cell r="CD434"/>
          <cell r="CE434"/>
          <cell r="CF434"/>
          <cell r="CG434"/>
          <cell r="CH434"/>
          <cell r="CI434"/>
          <cell r="CJ434"/>
          <cell r="CK434"/>
          <cell r="CL434"/>
          <cell r="CM434"/>
          <cell r="CN434"/>
          <cell r="CO434"/>
          <cell r="CP434"/>
        </row>
        <row r="435">
          <cell r="C435">
            <v>2454</v>
          </cell>
          <cell r="D435" t="str">
            <v>MB591584</v>
          </cell>
          <cell r="E435" t="str">
            <v xml:space="preserve"> PANEL,H/PROT,DASH</v>
          </cell>
          <cell r="H435">
            <v>1</v>
          </cell>
          <cell r="I435">
            <v>1</v>
          </cell>
          <cell r="J435">
            <v>1</v>
          </cell>
          <cell r="K435">
            <v>1</v>
          </cell>
          <cell r="L435">
            <v>1</v>
          </cell>
          <cell r="M435">
            <v>1</v>
          </cell>
          <cell r="N435">
            <v>1</v>
          </cell>
          <cell r="O435">
            <v>1</v>
          </cell>
          <cell r="P435">
            <v>1</v>
          </cell>
          <cell r="Q435">
            <v>1</v>
          </cell>
          <cell r="R435">
            <v>1</v>
          </cell>
          <cell r="S435">
            <v>1</v>
          </cell>
          <cell r="T435">
            <v>1</v>
          </cell>
          <cell r="U435">
            <v>1</v>
          </cell>
          <cell r="V435">
            <v>1</v>
          </cell>
          <cell r="Y435">
            <v>1</v>
          </cell>
          <cell r="Z435">
            <v>1</v>
          </cell>
          <cell r="AA435">
            <v>1</v>
          </cell>
          <cell r="AB435">
            <v>1</v>
          </cell>
          <cell r="AC435">
            <v>1</v>
          </cell>
          <cell r="AD435">
            <v>1</v>
          </cell>
          <cell r="AF435">
            <v>1</v>
          </cell>
          <cell r="AG435">
            <v>1</v>
          </cell>
          <cell r="AH435"/>
          <cell r="AI435"/>
          <cell r="AJ435">
            <v>1</v>
          </cell>
          <cell r="AK435">
            <v>1</v>
          </cell>
          <cell r="AL435">
            <v>1</v>
          </cell>
          <cell r="AM435">
            <v>1</v>
          </cell>
          <cell r="AN435"/>
          <cell r="AO435">
            <v>1</v>
          </cell>
          <cell r="AP435"/>
          <cell r="AQ435">
            <v>1</v>
          </cell>
          <cell r="AR435"/>
          <cell r="AS435">
            <v>1</v>
          </cell>
          <cell r="AT435"/>
          <cell r="AU435">
            <v>1</v>
          </cell>
          <cell r="AV435">
            <v>1</v>
          </cell>
          <cell r="AW435"/>
          <cell r="AX435">
            <v>1</v>
          </cell>
          <cell r="AY435"/>
          <cell r="AZ435" t="str">
            <v>T</v>
          </cell>
          <cell r="BA435" t="str">
            <v>삼아</v>
          </cell>
          <cell r="BB435" t="str">
            <v>H50C25K</v>
          </cell>
          <cell r="BC435"/>
          <cell r="BD435" t="str">
            <v>D981</v>
          </cell>
          <cell r="BE435"/>
          <cell r="BF435"/>
          <cell r="BG435"/>
          <cell r="BH435"/>
          <cell r="BI435" t="e">
            <v>#REF!</v>
          </cell>
          <cell r="BJ435" t="e">
            <v>#REF!</v>
          </cell>
          <cell r="BK435" t="e">
            <v>#REF!</v>
          </cell>
          <cell r="BL435" t="e">
            <v>#REF!</v>
          </cell>
          <cell r="BM435"/>
          <cell r="BN435"/>
          <cell r="BO435"/>
          <cell r="BP435"/>
          <cell r="BQ435"/>
          <cell r="BR435"/>
          <cell r="BS435"/>
          <cell r="BT435"/>
          <cell r="BU435"/>
          <cell r="BV435"/>
          <cell r="BW435"/>
          <cell r="BX435"/>
          <cell r="BY435"/>
          <cell r="BZ435"/>
          <cell r="CA435"/>
          <cell r="CB435"/>
          <cell r="CC435"/>
          <cell r="CD435"/>
          <cell r="CE435"/>
          <cell r="CF435"/>
          <cell r="CG435"/>
          <cell r="CH435"/>
          <cell r="CI435"/>
          <cell r="CJ435"/>
          <cell r="CK435"/>
          <cell r="CL435"/>
          <cell r="CM435"/>
          <cell r="CN435"/>
          <cell r="CO435"/>
          <cell r="CP435"/>
        </row>
        <row r="436">
          <cell r="C436">
            <v>1892</v>
          </cell>
          <cell r="D436" t="str">
            <v>MB591623</v>
          </cell>
          <cell r="E436" t="str">
            <v xml:space="preserve"> REINF,FRT PILLAR(A) LH</v>
          </cell>
          <cell r="I436">
            <v>1</v>
          </cell>
          <cell r="J436">
            <v>1</v>
          </cell>
          <cell r="K436">
            <v>1</v>
          </cell>
          <cell r="O436">
            <v>1</v>
          </cell>
          <cell r="Q436">
            <v>1</v>
          </cell>
          <cell r="S436">
            <v>1</v>
          </cell>
          <cell r="T436">
            <v>1</v>
          </cell>
          <cell r="V436">
            <v>1</v>
          </cell>
          <cell r="X436">
            <v>1</v>
          </cell>
          <cell r="Y436">
            <v>1</v>
          </cell>
          <cell r="Z436">
            <v>1</v>
          </cell>
          <cell r="AA436">
            <v>1</v>
          </cell>
          <cell r="AE436">
            <v>1</v>
          </cell>
          <cell r="AG436">
            <v>1</v>
          </cell>
          <cell r="AI436">
            <v>1</v>
          </cell>
          <cell r="AJ436">
            <v>1</v>
          </cell>
          <cell r="AK436">
            <v>1</v>
          </cell>
          <cell r="AQ436">
            <v>1</v>
          </cell>
          <cell r="AR436">
            <v>1</v>
          </cell>
          <cell r="AS436">
            <v>1</v>
          </cell>
          <cell r="AT436">
            <v>1</v>
          </cell>
          <cell r="AU436">
            <v>1</v>
          </cell>
          <cell r="AV436">
            <v>1</v>
          </cell>
          <cell r="AX436">
            <v>1</v>
          </cell>
          <cell r="AY436">
            <v>1</v>
          </cell>
          <cell r="AZ436" t="str">
            <v>B</v>
          </cell>
          <cell r="BA436" t="str">
            <v>삼아</v>
          </cell>
          <cell r="BB436" t="str">
            <v>H50A16K</v>
          </cell>
          <cell r="BD436" t="str">
            <v>D981</v>
          </cell>
          <cell r="BI436">
            <v>888</v>
          </cell>
          <cell r="BJ436">
            <v>458</v>
          </cell>
          <cell r="BK436">
            <v>90</v>
          </cell>
          <cell r="BL436">
            <v>100</v>
          </cell>
          <cell r="BM436"/>
          <cell r="BN436"/>
          <cell r="BO436"/>
          <cell r="BP436"/>
          <cell r="BQ436"/>
          <cell r="BR436"/>
          <cell r="BS436"/>
          <cell r="BT436"/>
          <cell r="BU436"/>
          <cell r="BV436"/>
          <cell r="BW436"/>
          <cell r="BX436"/>
          <cell r="BY436"/>
          <cell r="BZ436"/>
          <cell r="CA436"/>
          <cell r="CB436"/>
          <cell r="CC436"/>
          <cell r="CD436"/>
          <cell r="CE436"/>
          <cell r="CF436"/>
          <cell r="CG436"/>
          <cell r="CH436"/>
          <cell r="CI436"/>
          <cell r="CJ436"/>
          <cell r="CK436"/>
          <cell r="CL436"/>
          <cell r="CM436"/>
          <cell r="CN436"/>
          <cell r="CO436"/>
          <cell r="CP436"/>
          <cell r="CQ436"/>
        </row>
        <row r="437">
          <cell r="C437">
            <v>1892</v>
          </cell>
          <cell r="D437" t="str">
            <v>MB591624</v>
          </cell>
          <cell r="E437" t="str">
            <v xml:space="preserve"> REINF,FRT PILLAR(A) RH</v>
          </cell>
          <cell r="I437">
            <v>1</v>
          </cell>
          <cell r="J437">
            <v>1</v>
          </cell>
          <cell r="K437">
            <v>1</v>
          </cell>
          <cell r="O437">
            <v>1</v>
          </cell>
          <cell r="Q437">
            <v>1</v>
          </cell>
          <cell r="S437">
            <v>1</v>
          </cell>
          <cell r="T437">
            <v>1</v>
          </cell>
          <cell r="V437">
            <v>1</v>
          </cell>
          <cell r="X437">
            <v>1</v>
          </cell>
          <cell r="Y437">
            <v>1</v>
          </cell>
          <cell r="Z437">
            <v>1</v>
          </cell>
          <cell r="AA437">
            <v>1</v>
          </cell>
          <cell r="AE437">
            <v>1</v>
          </cell>
          <cell r="AG437">
            <v>1</v>
          </cell>
          <cell r="AI437">
            <v>1</v>
          </cell>
          <cell r="AJ437">
            <v>1</v>
          </cell>
          <cell r="AK437">
            <v>1</v>
          </cell>
          <cell r="AQ437">
            <v>1</v>
          </cell>
          <cell r="AR437">
            <v>1</v>
          </cell>
          <cell r="AS437">
            <v>1</v>
          </cell>
          <cell r="AT437">
            <v>1</v>
          </cell>
          <cell r="AU437">
            <v>1</v>
          </cell>
          <cell r="AV437">
            <v>1</v>
          </cell>
          <cell r="AX437">
            <v>1</v>
          </cell>
          <cell r="AY437">
            <v>1</v>
          </cell>
          <cell r="AZ437" t="str">
            <v>B</v>
          </cell>
          <cell r="BA437" t="str">
            <v>삼아</v>
          </cell>
          <cell r="BB437" t="str">
            <v>H50A16K</v>
          </cell>
          <cell r="BD437" t="str">
            <v>D981</v>
          </cell>
          <cell r="BI437">
            <v>888</v>
          </cell>
          <cell r="BJ437">
            <v>458</v>
          </cell>
          <cell r="BK437">
            <v>90</v>
          </cell>
          <cell r="BL437">
            <v>100</v>
          </cell>
          <cell r="BM437"/>
          <cell r="BN437"/>
          <cell r="BO437"/>
          <cell r="BP437"/>
          <cell r="BQ437"/>
          <cell r="BR437"/>
          <cell r="BS437"/>
          <cell r="BT437"/>
          <cell r="BU437"/>
          <cell r="BV437"/>
          <cell r="BW437"/>
          <cell r="BX437"/>
          <cell r="BY437"/>
          <cell r="BZ437"/>
          <cell r="CA437"/>
          <cell r="CB437"/>
          <cell r="CC437"/>
          <cell r="CD437"/>
          <cell r="CE437"/>
          <cell r="CF437"/>
          <cell r="CG437"/>
          <cell r="CH437"/>
          <cell r="CI437"/>
          <cell r="CJ437"/>
          <cell r="CK437"/>
          <cell r="CL437"/>
          <cell r="CM437"/>
          <cell r="CN437"/>
          <cell r="CO437"/>
          <cell r="CP437"/>
          <cell r="CQ437"/>
        </row>
        <row r="438">
          <cell r="C438">
            <v>130</v>
          </cell>
          <cell r="D438" t="str">
            <v>XB275940A</v>
          </cell>
          <cell r="E438" t="str">
            <v xml:space="preserve"> PANEL,H/PROT</v>
          </cell>
          <cell r="W438">
            <v>1</v>
          </cell>
          <cell r="X438">
            <v>1</v>
          </cell>
          <cell r="AE438">
            <v>1</v>
          </cell>
          <cell r="AH438">
            <v>1</v>
          </cell>
          <cell r="AI438">
            <v>1</v>
          </cell>
          <cell r="AN438">
            <v>1</v>
          </cell>
          <cell r="AP438">
            <v>1</v>
          </cell>
          <cell r="AR438">
            <v>1</v>
          </cell>
          <cell r="AT438">
            <v>1</v>
          </cell>
          <cell r="AW438">
            <v>1</v>
          </cell>
          <cell r="AY438">
            <v>1</v>
          </cell>
          <cell r="AZ438" t="str">
            <v>T</v>
          </cell>
          <cell r="BA438" t="str">
            <v>삼아</v>
          </cell>
          <cell r="BB438" t="str">
            <v>H50C25K</v>
          </cell>
          <cell r="BD438" t="str">
            <v>D981</v>
          </cell>
          <cell r="BE438" t="str">
            <v>V6</v>
          </cell>
          <cell r="BI438" t="e">
            <v>#REF!</v>
          </cell>
          <cell r="BJ438" t="e">
            <v>#REF!</v>
          </cell>
          <cell r="BK438" t="e">
            <v>#REF!</v>
          </cell>
          <cell r="BL438" t="e">
            <v>#REF!</v>
          </cell>
          <cell r="BM438"/>
          <cell r="BN438"/>
          <cell r="BO438"/>
          <cell r="BP438"/>
          <cell r="BQ438"/>
          <cell r="BR438"/>
          <cell r="BS438"/>
          <cell r="BT438"/>
          <cell r="BU438"/>
          <cell r="BV438"/>
          <cell r="BW438"/>
          <cell r="BX438"/>
          <cell r="BY438"/>
          <cell r="BZ438"/>
          <cell r="CA438"/>
          <cell r="CB438"/>
          <cell r="CC438"/>
          <cell r="CD438"/>
          <cell r="CE438"/>
          <cell r="CF438"/>
          <cell r="CG438"/>
          <cell r="CH438"/>
          <cell r="CI438"/>
          <cell r="CJ438"/>
          <cell r="CK438"/>
          <cell r="CL438"/>
          <cell r="CM438"/>
          <cell r="CN438"/>
          <cell r="CO438"/>
          <cell r="CP438"/>
          <cell r="CQ438"/>
        </row>
        <row r="439">
          <cell r="C439">
            <v>2584</v>
          </cell>
          <cell r="D439" t="str">
            <v>HG300040</v>
          </cell>
          <cell r="E439" t="str">
            <v xml:space="preserve"> REINF ASSY- SPARE TIRE</v>
          </cell>
          <cell r="F439" t="str">
            <v>신규ITEM</v>
          </cell>
          <cell r="G439">
            <v>1</v>
          </cell>
          <cell r="AZ439" t="str">
            <v>B</v>
          </cell>
          <cell r="BA439" t="str">
            <v>삼아(주)</v>
          </cell>
        </row>
        <row r="440">
          <cell r="C440">
            <v>2584</v>
          </cell>
          <cell r="D440" t="str">
            <v>MB140836</v>
          </cell>
          <cell r="E440" t="str">
            <v xml:space="preserve"> CLIP</v>
          </cell>
          <cell r="G440">
            <v>1</v>
          </cell>
          <cell r="AZ440" t="str">
            <v>B</v>
          </cell>
          <cell r="BA440" t="str">
            <v>삼영공업</v>
          </cell>
          <cell r="BD440" t="str">
            <v>K546</v>
          </cell>
          <cell r="BI440">
            <v>0</v>
          </cell>
          <cell r="BJ440">
            <v>0</v>
          </cell>
          <cell r="BK440">
            <v>0</v>
          </cell>
          <cell r="BL440">
            <v>0</v>
          </cell>
          <cell r="BM440"/>
          <cell r="BN440"/>
          <cell r="BO440"/>
          <cell r="BP440"/>
          <cell r="BQ440"/>
          <cell r="BR440"/>
          <cell r="BS440"/>
          <cell r="BT440"/>
          <cell r="BU440"/>
          <cell r="BV440"/>
          <cell r="BW440"/>
          <cell r="BX440"/>
          <cell r="BY440"/>
          <cell r="BZ440"/>
          <cell r="CA440"/>
          <cell r="CB440"/>
          <cell r="CC440"/>
          <cell r="CD440"/>
          <cell r="CE440"/>
          <cell r="CF440"/>
          <cell r="CG440"/>
          <cell r="CH440"/>
          <cell r="CI440"/>
          <cell r="CJ440"/>
        </row>
        <row r="441">
          <cell r="C441">
            <v>2584</v>
          </cell>
          <cell r="D441" t="str">
            <v>HQ503111</v>
          </cell>
          <cell r="E441" t="str">
            <v xml:space="preserve"> REINF ASSY F/DR HINGE LH</v>
          </cell>
          <cell r="G441">
            <v>1</v>
          </cell>
          <cell r="AZ441" t="str">
            <v>B</v>
          </cell>
          <cell r="BA441" t="str">
            <v>성철사</v>
          </cell>
          <cell r="BB441" t="str">
            <v>H50B31K</v>
          </cell>
          <cell r="BC441" t="str">
            <v>MB227643A</v>
          </cell>
          <cell r="BD441" t="str">
            <v>L922</v>
          </cell>
          <cell r="BI441">
            <v>0</v>
          </cell>
          <cell r="BJ441">
            <v>0</v>
          </cell>
          <cell r="BK441">
            <v>0</v>
          </cell>
          <cell r="BL441">
            <v>0</v>
          </cell>
          <cell r="BM441"/>
          <cell r="BN441"/>
          <cell r="BO441"/>
          <cell r="BP441"/>
          <cell r="BQ441"/>
          <cell r="BR441"/>
          <cell r="BS441"/>
          <cell r="BT441"/>
          <cell r="BU441"/>
          <cell r="BV441"/>
          <cell r="BW441"/>
          <cell r="BX441"/>
          <cell r="BY441"/>
          <cell r="BZ441"/>
          <cell r="CA441"/>
          <cell r="CB441"/>
          <cell r="CC441"/>
          <cell r="CD441"/>
          <cell r="CE441"/>
          <cell r="CF441"/>
          <cell r="CG441"/>
          <cell r="CH441"/>
          <cell r="CI441"/>
          <cell r="CJ441"/>
        </row>
        <row r="442">
          <cell r="C442">
            <v>2584</v>
          </cell>
          <cell r="D442" t="str">
            <v>HQ503112</v>
          </cell>
          <cell r="E442" t="str">
            <v xml:space="preserve"> REINF ASSY F/DR HINGE RH</v>
          </cell>
          <cell r="G442">
            <v>1</v>
          </cell>
          <cell r="AZ442" t="str">
            <v>B</v>
          </cell>
          <cell r="BA442" t="str">
            <v>성철사</v>
          </cell>
          <cell r="BB442" t="str">
            <v>H50B31K</v>
          </cell>
          <cell r="BC442" t="str">
            <v>MB227644A</v>
          </cell>
          <cell r="BD442" t="str">
            <v>L922</v>
          </cell>
          <cell r="BI442">
            <v>0</v>
          </cell>
          <cell r="BJ442">
            <v>0</v>
          </cell>
          <cell r="BK442">
            <v>0</v>
          </cell>
          <cell r="BL442">
            <v>0</v>
          </cell>
          <cell r="BM442"/>
          <cell r="BN442"/>
          <cell r="BO442"/>
          <cell r="BP442"/>
          <cell r="BQ442"/>
          <cell r="BR442"/>
          <cell r="BS442"/>
          <cell r="BT442"/>
          <cell r="BU442"/>
          <cell r="BV442"/>
          <cell r="BW442"/>
          <cell r="BX442"/>
          <cell r="BY442"/>
          <cell r="BZ442"/>
          <cell r="CA442"/>
          <cell r="CB442"/>
          <cell r="CC442"/>
          <cell r="CD442"/>
          <cell r="CE442"/>
          <cell r="CF442"/>
          <cell r="CG442"/>
          <cell r="CH442"/>
          <cell r="CI442"/>
          <cell r="CJ442"/>
        </row>
        <row r="443">
          <cell r="C443">
            <v>1892</v>
          </cell>
          <cell r="D443" t="str">
            <v>HQ503203</v>
          </cell>
          <cell r="E443" t="str">
            <v xml:space="preserve"> REINF ASSY R/DR HINGE LH</v>
          </cell>
          <cell r="I443">
            <v>1</v>
          </cell>
          <cell r="J443">
            <v>1</v>
          </cell>
          <cell r="K443">
            <v>1</v>
          </cell>
          <cell r="O443">
            <v>1</v>
          </cell>
          <cell r="Q443">
            <v>1</v>
          </cell>
          <cell r="S443">
            <v>1</v>
          </cell>
          <cell r="T443">
            <v>1</v>
          </cell>
          <cell r="V443">
            <v>1</v>
          </cell>
          <cell r="X443">
            <v>1</v>
          </cell>
          <cell r="Y443">
            <v>1</v>
          </cell>
          <cell r="Z443">
            <v>1</v>
          </cell>
          <cell r="AA443">
            <v>1</v>
          </cell>
          <cell r="AE443">
            <v>1</v>
          </cell>
          <cell r="AG443">
            <v>1</v>
          </cell>
          <cell r="AI443">
            <v>1</v>
          </cell>
          <cell r="AJ443">
            <v>1</v>
          </cell>
          <cell r="AK443">
            <v>1</v>
          </cell>
          <cell r="AQ443">
            <v>1</v>
          </cell>
          <cell r="AR443">
            <v>1</v>
          </cell>
          <cell r="AS443">
            <v>1</v>
          </cell>
          <cell r="AT443">
            <v>1</v>
          </cell>
          <cell r="AU443">
            <v>1</v>
          </cell>
          <cell r="AV443">
            <v>1</v>
          </cell>
          <cell r="AX443">
            <v>1</v>
          </cell>
          <cell r="AY443">
            <v>1</v>
          </cell>
          <cell r="AZ443" t="str">
            <v>B</v>
          </cell>
          <cell r="BA443" t="str">
            <v>성철사</v>
          </cell>
          <cell r="BB443" t="str">
            <v>H50B32K</v>
          </cell>
          <cell r="BC443" t="str">
            <v>MB320009A</v>
          </cell>
          <cell r="BD443" t="str">
            <v>L922</v>
          </cell>
          <cell r="BI443">
            <v>888</v>
          </cell>
          <cell r="BJ443">
            <v>458</v>
          </cell>
          <cell r="BK443">
            <v>90</v>
          </cell>
          <cell r="BL443">
            <v>100</v>
          </cell>
          <cell r="BM443"/>
          <cell r="BN443"/>
          <cell r="BO443"/>
          <cell r="BP443"/>
          <cell r="BQ443"/>
          <cell r="BR443"/>
          <cell r="BS443"/>
          <cell r="BT443"/>
          <cell r="BU443"/>
          <cell r="BV443"/>
          <cell r="BW443"/>
          <cell r="BX443"/>
          <cell r="BY443"/>
          <cell r="BZ443"/>
          <cell r="CA443"/>
          <cell r="CB443"/>
          <cell r="CC443"/>
          <cell r="CD443"/>
          <cell r="CE443"/>
          <cell r="CF443"/>
          <cell r="CG443"/>
          <cell r="CH443"/>
          <cell r="CI443"/>
          <cell r="CJ443"/>
          <cell r="CK443"/>
          <cell r="CL443"/>
          <cell r="CM443"/>
          <cell r="CN443"/>
          <cell r="CO443"/>
          <cell r="CP443"/>
          <cell r="CQ443"/>
        </row>
        <row r="444">
          <cell r="C444">
            <v>1892</v>
          </cell>
          <cell r="D444" t="str">
            <v>HQ503204</v>
          </cell>
          <cell r="E444" t="str">
            <v xml:space="preserve"> REINF ASSY R/DR HINGE RH</v>
          </cell>
          <cell r="I444">
            <v>1</v>
          </cell>
          <cell r="J444">
            <v>1</v>
          </cell>
          <cell r="K444">
            <v>1</v>
          </cell>
          <cell r="O444">
            <v>1</v>
          </cell>
          <cell r="Q444">
            <v>1</v>
          </cell>
          <cell r="S444">
            <v>1</v>
          </cell>
          <cell r="T444">
            <v>1</v>
          </cell>
          <cell r="V444">
            <v>1</v>
          </cell>
          <cell r="X444">
            <v>1</v>
          </cell>
          <cell r="Y444">
            <v>1</v>
          </cell>
          <cell r="Z444">
            <v>1</v>
          </cell>
          <cell r="AA444">
            <v>1</v>
          </cell>
          <cell r="AE444">
            <v>1</v>
          </cell>
          <cell r="AG444">
            <v>1</v>
          </cell>
          <cell r="AI444">
            <v>1</v>
          </cell>
          <cell r="AJ444">
            <v>1</v>
          </cell>
          <cell r="AK444">
            <v>1</v>
          </cell>
          <cell r="AQ444">
            <v>1</v>
          </cell>
          <cell r="AR444">
            <v>1</v>
          </cell>
          <cell r="AS444">
            <v>1</v>
          </cell>
          <cell r="AT444">
            <v>1</v>
          </cell>
          <cell r="AU444">
            <v>1</v>
          </cell>
          <cell r="AV444">
            <v>1</v>
          </cell>
          <cell r="AX444">
            <v>1</v>
          </cell>
          <cell r="AY444">
            <v>1</v>
          </cell>
          <cell r="AZ444" t="str">
            <v>B</v>
          </cell>
          <cell r="BA444" t="str">
            <v>성철사</v>
          </cell>
          <cell r="BB444" t="str">
            <v>H50B32K</v>
          </cell>
          <cell r="BC444" t="str">
            <v>MB320010A</v>
          </cell>
          <cell r="BD444" t="str">
            <v>L922</v>
          </cell>
          <cell r="BI444">
            <v>888</v>
          </cell>
          <cell r="BJ444">
            <v>458</v>
          </cell>
          <cell r="BK444">
            <v>90</v>
          </cell>
          <cell r="BL444">
            <v>100</v>
          </cell>
          <cell r="BM444"/>
          <cell r="BN444"/>
          <cell r="BO444"/>
          <cell r="BP444"/>
          <cell r="BQ444"/>
          <cell r="BR444"/>
          <cell r="BS444"/>
          <cell r="BT444"/>
          <cell r="BU444"/>
          <cell r="BV444"/>
          <cell r="BW444"/>
          <cell r="BX444"/>
          <cell r="BY444"/>
          <cell r="BZ444"/>
          <cell r="CA444"/>
          <cell r="CB444"/>
          <cell r="CC444"/>
          <cell r="CD444"/>
          <cell r="CE444"/>
          <cell r="CF444"/>
          <cell r="CG444"/>
          <cell r="CH444"/>
          <cell r="CI444"/>
          <cell r="CJ444"/>
          <cell r="CK444"/>
          <cell r="CL444"/>
          <cell r="CM444"/>
          <cell r="CN444"/>
          <cell r="CO444"/>
          <cell r="CP444"/>
          <cell r="CQ444"/>
        </row>
        <row r="445">
          <cell r="C445">
            <v>1892</v>
          </cell>
          <cell r="D445" t="str">
            <v>HQ505737</v>
          </cell>
          <cell r="E445" t="str">
            <v xml:space="preserve"> PANEL,RR W/HSE,FR LH</v>
          </cell>
          <cell r="I445">
            <v>1</v>
          </cell>
          <cell r="J445">
            <v>1</v>
          </cell>
          <cell r="K445">
            <v>1</v>
          </cell>
          <cell r="O445">
            <v>1</v>
          </cell>
          <cell r="Q445">
            <v>1</v>
          </cell>
          <cell r="S445">
            <v>1</v>
          </cell>
          <cell r="T445">
            <v>1</v>
          </cell>
          <cell r="V445">
            <v>1</v>
          </cell>
          <cell r="X445">
            <v>1</v>
          </cell>
          <cell r="Y445">
            <v>1</v>
          </cell>
          <cell r="Z445">
            <v>1</v>
          </cell>
          <cell r="AA445">
            <v>1</v>
          </cell>
          <cell r="AE445">
            <v>1</v>
          </cell>
          <cell r="AG445">
            <v>1</v>
          </cell>
          <cell r="AI445">
            <v>1</v>
          </cell>
          <cell r="AJ445">
            <v>1</v>
          </cell>
          <cell r="AK445">
            <v>1</v>
          </cell>
          <cell r="AQ445">
            <v>1</v>
          </cell>
          <cell r="AR445">
            <v>1</v>
          </cell>
          <cell r="AS445">
            <v>1</v>
          </cell>
          <cell r="AT445">
            <v>1</v>
          </cell>
          <cell r="AU445">
            <v>1</v>
          </cell>
          <cell r="AV445">
            <v>1</v>
          </cell>
          <cell r="AX445">
            <v>1</v>
          </cell>
          <cell r="AY445">
            <v>1</v>
          </cell>
          <cell r="AZ445" t="str">
            <v>B</v>
          </cell>
          <cell r="BA445" t="str">
            <v>성철사</v>
          </cell>
          <cell r="BB445" t="str">
            <v>H50A17K</v>
          </cell>
          <cell r="BC445" t="str">
            <v>MB591393A</v>
          </cell>
          <cell r="BD445" t="str">
            <v>L922</v>
          </cell>
          <cell r="BI445">
            <v>888</v>
          </cell>
          <cell r="BJ445">
            <v>458</v>
          </cell>
          <cell r="BK445">
            <v>90</v>
          </cell>
          <cell r="BL445">
            <v>100</v>
          </cell>
          <cell r="BM445"/>
          <cell r="BN445"/>
          <cell r="BO445"/>
          <cell r="BP445"/>
          <cell r="BQ445"/>
          <cell r="BR445"/>
          <cell r="BS445"/>
          <cell r="BT445"/>
          <cell r="BU445"/>
          <cell r="BV445"/>
          <cell r="BW445"/>
          <cell r="BX445"/>
          <cell r="BY445"/>
          <cell r="BZ445"/>
          <cell r="CA445"/>
          <cell r="CB445"/>
          <cell r="CC445"/>
          <cell r="CD445"/>
          <cell r="CE445"/>
          <cell r="CF445"/>
          <cell r="CG445"/>
          <cell r="CH445"/>
          <cell r="CI445"/>
          <cell r="CJ445"/>
          <cell r="CK445"/>
          <cell r="CL445"/>
          <cell r="CM445"/>
          <cell r="CN445"/>
          <cell r="CO445"/>
          <cell r="CP445"/>
          <cell r="CQ445"/>
        </row>
        <row r="446">
          <cell r="C446">
            <v>1892</v>
          </cell>
          <cell r="D446" t="str">
            <v>HQ505738</v>
          </cell>
          <cell r="E446" t="str">
            <v xml:space="preserve"> PANEL,RR W/HSE,FR RH</v>
          </cell>
          <cell r="I446">
            <v>1</v>
          </cell>
          <cell r="J446">
            <v>1</v>
          </cell>
          <cell r="K446">
            <v>1</v>
          </cell>
          <cell r="O446">
            <v>1</v>
          </cell>
          <cell r="Q446">
            <v>1</v>
          </cell>
          <cell r="S446">
            <v>1</v>
          </cell>
          <cell r="T446">
            <v>1</v>
          </cell>
          <cell r="V446">
            <v>1</v>
          </cell>
          <cell r="X446">
            <v>1</v>
          </cell>
          <cell r="Y446">
            <v>1</v>
          </cell>
          <cell r="Z446">
            <v>1</v>
          </cell>
          <cell r="AA446">
            <v>1</v>
          </cell>
          <cell r="AE446">
            <v>1</v>
          </cell>
          <cell r="AG446">
            <v>1</v>
          </cell>
          <cell r="AI446">
            <v>1</v>
          </cell>
          <cell r="AJ446">
            <v>1</v>
          </cell>
          <cell r="AK446">
            <v>1</v>
          </cell>
          <cell r="AQ446">
            <v>1</v>
          </cell>
          <cell r="AR446">
            <v>1</v>
          </cell>
          <cell r="AS446">
            <v>1</v>
          </cell>
          <cell r="AT446">
            <v>1</v>
          </cell>
          <cell r="AU446">
            <v>1</v>
          </cell>
          <cell r="AV446">
            <v>1</v>
          </cell>
          <cell r="AX446">
            <v>1</v>
          </cell>
          <cell r="AY446">
            <v>1</v>
          </cell>
          <cell r="AZ446" t="str">
            <v>B</v>
          </cell>
          <cell r="BA446" t="str">
            <v>성철사</v>
          </cell>
          <cell r="BB446" t="str">
            <v>H50A17K</v>
          </cell>
          <cell r="BC446" t="str">
            <v>MB591394A</v>
          </cell>
          <cell r="BD446" t="str">
            <v>L922</v>
          </cell>
          <cell r="BI446">
            <v>888</v>
          </cell>
          <cell r="BJ446">
            <v>458</v>
          </cell>
          <cell r="BK446">
            <v>90</v>
          </cell>
          <cell r="BL446">
            <v>100</v>
          </cell>
          <cell r="BM446"/>
          <cell r="BN446"/>
          <cell r="BO446"/>
          <cell r="BP446"/>
          <cell r="BQ446"/>
          <cell r="BR446"/>
          <cell r="BS446"/>
          <cell r="BT446"/>
          <cell r="BU446"/>
          <cell r="BV446"/>
          <cell r="BW446"/>
          <cell r="BX446"/>
          <cell r="BY446"/>
          <cell r="BZ446"/>
          <cell r="CA446"/>
          <cell r="CB446"/>
          <cell r="CC446"/>
          <cell r="CD446"/>
          <cell r="CE446"/>
          <cell r="CF446"/>
          <cell r="CG446"/>
          <cell r="CH446"/>
          <cell r="CI446"/>
          <cell r="CJ446"/>
          <cell r="CK446"/>
          <cell r="CL446"/>
          <cell r="CM446"/>
          <cell r="CN446"/>
          <cell r="CO446"/>
          <cell r="CP446"/>
          <cell r="CQ446"/>
        </row>
        <row r="447">
          <cell r="C447">
            <v>590</v>
          </cell>
          <cell r="D447" t="str">
            <v>HC000019A</v>
          </cell>
          <cell r="E447" t="str">
            <v xml:space="preserve"> BOW,ROOF</v>
          </cell>
          <cell r="H447">
            <v>1</v>
          </cell>
          <cell r="R447">
            <v>1</v>
          </cell>
          <cell r="AB447">
            <v>1</v>
          </cell>
          <cell r="AC447">
            <v>1</v>
          </cell>
          <cell r="AF447">
            <v>1</v>
          </cell>
          <cell r="AG447"/>
          <cell r="AH447">
            <v>1</v>
          </cell>
          <cell r="AI447"/>
          <cell r="AJ447"/>
          <cell r="AK447"/>
          <cell r="AL447"/>
          <cell r="AM447">
            <v>1</v>
          </cell>
          <cell r="AN447">
            <v>1</v>
          </cell>
          <cell r="AO447"/>
          <cell r="AP447"/>
          <cell r="AQ447"/>
          <cell r="AR447"/>
          <cell r="AS447"/>
          <cell r="AT447"/>
          <cell r="AU447"/>
          <cell r="AV447"/>
          <cell r="AW447">
            <v>1</v>
          </cell>
          <cell r="AX447"/>
          <cell r="AY447"/>
          <cell r="AZ447" t="str">
            <v>B</v>
          </cell>
          <cell r="BA447" t="str">
            <v>세명공업</v>
          </cell>
          <cell r="BB447" t="str">
            <v>H50A20K</v>
          </cell>
          <cell r="BC447"/>
          <cell r="BD447" t="str">
            <v>L828</v>
          </cell>
          <cell r="BE447" t="str">
            <v>S/B</v>
          </cell>
          <cell r="BF447"/>
          <cell r="BG447"/>
          <cell r="BH447"/>
          <cell r="BI447">
            <v>0</v>
          </cell>
          <cell r="BJ447">
            <v>539</v>
          </cell>
          <cell r="BK447">
            <v>14</v>
          </cell>
          <cell r="BL447">
            <v>2</v>
          </cell>
          <cell r="BM447"/>
          <cell r="BN447"/>
          <cell r="BO447"/>
          <cell r="BP447"/>
          <cell r="BQ447"/>
          <cell r="BR447"/>
          <cell r="BS447"/>
          <cell r="BT447"/>
          <cell r="BU447"/>
          <cell r="BV447"/>
          <cell r="BW447"/>
          <cell r="BX447"/>
          <cell r="BY447"/>
          <cell r="BZ447"/>
          <cell r="CA447"/>
          <cell r="CB447"/>
          <cell r="CC447"/>
          <cell r="CD447"/>
          <cell r="CE447"/>
          <cell r="CF447"/>
          <cell r="CG447"/>
          <cell r="CH447"/>
          <cell r="CI447"/>
          <cell r="CJ447"/>
          <cell r="CK447"/>
          <cell r="CL447"/>
          <cell r="CM447"/>
          <cell r="CN447"/>
          <cell r="CO447"/>
        </row>
        <row r="448">
          <cell r="C448">
            <v>2572</v>
          </cell>
          <cell r="D448" t="str">
            <v>HC000134</v>
          </cell>
          <cell r="E448" t="str">
            <v xml:space="preserve"> RAIL,FRT ROOF,INR</v>
          </cell>
          <cell r="H448">
            <v>1</v>
          </cell>
          <cell r="I448">
            <v>1</v>
          </cell>
          <cell r="J448">
            <v>1</v>
          </cell>
          <cell r="K448">
            <v>1</v>
          </cell>
          <cell r="L448">
            <v>1</v>
          </cell>
          <cell r="M448">
            <v>1</v>
          </cell>
          <cell r="N448">
            <v>1</v>
          </cell>
          <cell r="O448">
            <v>1</v>
          </cell>
          <cell r="P448">
            <v>1</v>
          </cell>
          <cell r="Q448">
            <v>1</v>
          </cell>
          <cell r="R448">
            <v>1</v>
          </cell>
          <cell r="S448">
            <v>1</v>
          </cell>
          <cell r="T448">
            <v>1</v>
          </cell>
          <cell r="U448">
            <v>1</v>
          </cell>
          <cell r="V448">
            <v>1</v>
          </cell>
          <cell r="W448">
            <v>1</v>
          </cell>
          <cell r="X448">
            <v>1</v>
          </cell>
          <cell r="Y448">
            <v>1</v>
          </cell>
          <cell r="Z448">
            <v>1</v>
          </cell>
          <cell r="AA448">
            <v>1</v>
          </cell>
          <cell r="AB448">
            <v>1</v>
          </cell>
          <cell r="AC448">
            <v>1</v>
          </cell>
          <cell r="AD448">
            <v>1</v>
          </cell>
          <cell r="AE448">
            <v>1</v>
          </cell>
          <cell r="AF448">
            <v>1</v>
          </cell>
          <cell r="AG448">
            <v>1</v>
          </cell>
          <cell r="AH448">
            <v>1</v>
          </cell>
          <cell r="AI448">
            <v>1</v>
          </cell>
          <cell r="AJ448">
            <v>1</v>
          </cell>
          <cell r="AK448">
            <v>1</v>
          </cell>
          <cell r="AL448">
            <v>1</v>
          </cell>
          <cell r="AM448">
            <v>1</v>
          </cell>
          <cell r="AN448">
            <v>1</v>
          </cell>
          <cell r="AP448">
            <v>1</v>
          </cell>
          <cell r="AQ448">
            <v>1</v>
          </cell>
          <cell r="AR448">
            <v>1</v>
          </cell>
          <cell r="AS448">
            <v>1</v>
          </cell>
          <cell r="AT448">
            <v>1</v>
          </cell>
          <cell r="AU448">
            <v>1</v>
          </cell>
          <cell r="AV448">
            <v>1</v>
          </cell>
          <cell r="AW448">
            <v>1</v>
          </cell>
          <cell r="AX448">
            <v>1</v>
          </cell>
          <cell r="AY448">
            <v>1</v>
          </cell>
          <cell r="AZ448" t="str">
            <v>B</v>
          </cell>
          <cell r="BA448" t="str">
            <v>세명공업</v>
          </cell>
          <cell r="BB448" t="str">
            <v>H50A20K</v>
          </cell>
          <cell r="BD448" t="str">
            <v>L828</v>
          </cell>
          <cell r="BE448" t="str">
            <v>ALL</v>
          </cell>
          <cell r="BI448">
            <v>937</v>
          </cell>
          <cell r="BJ448">
            <v>997</v>
          </cell>
          <cell r="BK448">
            <v>110</v>
          </cell>
          <cell r="BL448">
            <v>102</v>
          </cell>
          <cell r="BM448"/>
          <cell r="BN448"/>
          <cell r="BO448"/>
          <cell r="BP448"/>
          <cell r="BQ448"/>
          <cell r="BR448"/>
          <cell r="BS448"/>
          <cell r="BT448"/>
          <cell r="BU448"/>
          <cell r="BV448"/>
          <cell r="BW448"/>
          <cell r="BX448"/>
          <cell r="BY448"/>
          <cell r="BZ448"/>
          <cell r="CA448"/>
          <cell r="CB448"/>
          <cell r="CC448"/>
          <cell r="CD448"/>
          <cell r="CE448"/>
          <cell r="CF448"/>
          <cell r="CG448"/>
          <cell r="CH448"/>
          <cell r="CI448"/>
          <cell r="CJ448"/>
          <cell r="CK448"/>
        </row>
        <row r="449">
          <cell r="C449">
            <v>90</v>
          </cell>
          <cell r="D449" t="str">
            <v>HC000163</v>
          </cell>
          <cell r="E449" t="str">
            <v xml:space="preserve"> BOW ASSY-ROOF</v>
          </cell>
          <cell r="F449" t="str">
            <v>SWB-STD</v>
          </cell>
          <cell r="L449">
            <v>1</v>
          </cell>
          <cell r="M449">
            <v>1</v>
          </cell>
          <cell r="N449">
            <v>1</v>
          </cell>
          <cell r="P449">
            <v>1</v>
          </cell>
          <cell r="U449">
            <v>1</v>
          </cell>
          <cell r="W449">
            <v>1</v>
          </cell>
          <cell r="AD449">
            <v>1</v>
          </cell>
          <cell r="AL449">
            <v>1</v>
          </cell>
          <cell r="AP449">
            <v>1</v>
          </cell>
          <cell r="AZ449" t="str">
            <v>B</v>
          </cell>
          <cell r="BA449" t="str">
            <v>세명공업</v>
          </cell>
          <cell r="BB449" t="str">
            <v>H50A20K</v>
          </cell>
          <cell r="BD449" t="str">
            <v>L828</v>
          </cell>
          <cell r="BE449" t="str">
            <v>S/B</v>
          </cell>
          <cell r="BI449">
            <v>49</v>
          </cell>
          <cell r="BJ449">
            <v>0</v>
          </cell>
          <cell r="BK449">
            <v>6</v>
          </cell>
          <cell r="BL449">
            <v>0</v>
          </cell>
          <cell r="BM449"/>
          <cell r="BN449"/>
          <cell r="BO449"/>
          <cell r="BP449"/>
          <cell r="BQ449"/>
          <cell r="BR449"/>
          <cell r="BS449"/>
          <cell r="BT449"/>
          <cell r="BU449"/>
          <cell r="BV449"/>
          <cell r="BW449"/>
          <cell r="BX449"/>
          <cell r="BY449"/>
          <cell r="BZ449"/>
          <cell r="CA449"/>
          <cell r="CB449"/>
          <cell r="CC449"/>
          <cell r="CD449"/>
          <cell r="CE449"/>
          <cell r="CF449"/>
          <cell r="CG449"/>
          <cell r="CH449"/>
          <cell r="CI449"/>
          <cell r="CJ449"/>
          <cell r="CK449"/>
          <cell r="CL449"/>
          <cell r="CM449"/>
          <cell r="CN449"/>
          <cell r="CO449"/>
          <cell r="CP449"/>
        </row>
        <row r="450">
          <cell r="C450">
            <v>692</v>
          </cell>
          <cell r="D450" t="str">
            <v>HQ505661</v>
          </cell>
          <cell r="E450" t="str">
            <v xml:space="preserve"> EXTENTION,SIDE SILL OTR</v>
          </cell>
          <cell r="H450">
            <v>1</v>
          </cell>
          <cell r="L450">
            <v>1</v>
          </cell>
          <cell r="M450">
            <v>1</v>
          </cell>
          <cell r="N450">
            <v>1</v>
          </cell>
          <cell r="P450">
            <v>1</v>
          </cell>
          <cell r="R450">
            <v>1</v>
          </cell>
          <cell r="U450">
            <v>1</v>
          </cell>
          <cell r="W450">
            <v>1</v>
          </cell>
          <cell r="AB450">
            <v>1</v>
          </cell>
          <cell r="AC450">
            <v>1</v>
          </cell>
          <cell r="AD450">
            <v>1</v>
          </cell>
          <cell r="AF450">
            <v>1</v>
          </cell>
          <cell r="AG450"/>
          <cell r="AH450">
            <v>1</v>
          </cell>
          <cell r="AI450"/>
          <cell r="AJ450"/>
          <cell r="AK450"/>
          <cell r="AL450">
            <v>1</v>
          </cell>
          <cell r="AM450">
            <v>1</v>
          </cell>
          <cell r="AN450">
            <v>1</v>
          </cell>
          <cell r="AO450">
            <v>1</v>
          </cell>
          <cell r="AP450">
            <v>1</v>
          </cell>
          <cell r="AQ450"/>
          <cell r="AR450"/>
          <cell r="AS450"/>
          <cell r="AT450"/>
          <cell r="AU450"/>
          <cell r="AV450"/>
          <cell r="AW450">
            <v>1</v>
          </cell>
          <cell r="AX450"/>
          <cell r="AY450"/>
          <cell r="AZ450" t="str">
            <v>B</v>
          </cell>
          <cell r="BA450" t="str">
            <v>세명공업</v>
          </cell>
          <cell r="BB450" t="str">
            <v>H50A16K</v>
          </cell>
          <cell r="BC450" t="str">
            <v>MB250365A</v>
          </cell>
          <cell r="BD450" t="str">
            <v>L828</v>
          </cell>
          <cell r="BE450"/>
          <cell r="BF450"/>
          <cell r="BG450"/>
          <cell r="BH450"/>
          <cell r="BI450">
            <v>49</v>
          </cell>
          <cell r="BJ450">
            <v>539</v>
          </cell>
          <cell r="BK450">
            <v>28</v>
          </cell>
          <cell r="BL450">
            <v>2</v>
          </cell>
          <cell r="BM450"/>
          <cell r="BN450"/>
          <cell r="BO450"/>
          <cell r="BP450"/>
          <cell r="BQ450"/>
          <cell r="BR450"/>
          <cell r="BS450"/>
          <cell r="BT450"/>
          <cell r="BU450"/>
          <cell r="BV450"/>
          <cell r="BW450"/>
          <cell r="BX450"/>
          <cell r="BY450"/>
          <cell r="BZ450"/>
          <cell r="CA450"/>
          <cell r="CB450"/>
          <cell r="CC450"/>
          <cell r="CD450"/>
          <cell r="CE450"/>
          <cell r="CF450"/>
          <cell r="CG450"/>
          <cell r="CH450"/>
          <cell r="CI450"/>
          <cell r="CJ450"/>
          <cell r="CK450"/>
          <cell r="CL450"/>
          <cell r="CM450"/>
          <cell r="CN450"/>
          <cell r="CO450"/>
          <cell r="CP450"/>
        </row>
        <row r="451">
          <cell r="C451">
            <v>692</v>
          </cell>
          <cell r="D451" t="str">
            <v>HQ505662</v>
          </cell>
          <cell r="E451" t="str">
            <v xml:space="preserve"> EXTENTION,SIDE SILL OTR</v>
          </cell>
          <cell r="H451">
            <v>1</v>
          </cell>
          <cell r="L451">
            <v>1</v>
          </cell>
          <cell r="M451">
            <v>1</v>
          </cell>
          <cell r="N451">
            <v>1</v>
          </cell>
          <cell r="P451">
            <v>1</v>
          </cell>
          <cell r="R451">
            <v>1</v>
          </cell>
          <cell r="U451">
            <v>1</v>
          </cell>
          <cell r="W451">
            <v>1</v>
          </cell>
          <cell r="AB451">
            <v>1</v>
          </cell>
          <cell r="AC451">
            <v>1</v>
          </cell>
          <cell r="AD451">
            <v>1</v>
          </cell>
          <cell r="AH451">
            <v>1</v>
          </cell>
          <cell r="AL451">
            <v>1</v>
          </cell>
          <cell r="AM451">
            <v>1</v>
          </cell>
          <cell r="AN451">
            <v>1</v>
          </cell>
          <cell r="AO451">
            <v>1</v>
          </cell>
          <cell r="AP451">
            <v>1</v>
          </cell>
          <cell r="AW451">
            <v>1</v>
          </cell>
          <cell r="AZ451" t="str">
            <v>B</v>
          </cell>
          <cell r="BA451" t="str">
            <v>세명공업</v>
          </cell>
          <cell r="BB451" t="str">
            <v>H50A16K</v>
          </cell>
          <cell r="BC451" t="str">
            <v>MB250366A</v>
          </cell>
          <cell r="BD451" t="str">
            <v>L828</v>
          </cell>
          <cell r="BI451">
            <v>49</v>
          </cell>
          <cell r="BJ451">
            <v>539</v>
          </cell>
          <cell r="BK451">
            <v>28</v>
          </cell>
          <cell r="BL451">
            <v>2</v>
          </cell>
          <cell r="BM451"/>
          <cell r="BN451"/>
          <cell r="BO451"/>
          <cell r="BP451"/>
          <cell r="BQ451"/>
          <cell r="BR451"/>
          <cell r="BS451"/>
          <cell r="BT451"/>
          <cell r="BU451"/>
          <cell r="BV451"/>
          <cell r="BW451"/>
          <cell r="BX451"/>
          <cell r="BY451"/>
          <cell r="BZ451"/>
          <cell r="CA451"/>
          <cell r="CB451"/>
          <cell r="CC451"/>
          <cell r="CD451"/>
          <cell r="CE451"/>
          <cell r="CF451"/>
          <cell r="CG451"/>
          <cell r="CH451"/>
          <cell r="CI451"/>
          <cell r="CJ451"/>
          <cell r="CK451"/>
          <cell r="CL451"/>
          <cell r="CM451"/>
          <cell r="CN451"/>
          <cell r="CO451"/>
          <cell r="CP451"/>
        </row>
        <row r="452">
          <cell r="C452">
            <v>1052</v>
          </cell>
          <cell r="D452" t="str">
            <v>HQ505723</v>
          </cell>
          <cell r="E452" t="str">
            <v xml:space="preserve"> SILL SIDE OTR RR LH</v>
          </cell>
          <cell r="F452" t="str">
            <v>+661B</v>
          </cell>
          <cell r="K452">
            <v>1</v>
          </cell>
          <cell r="O452">
            <v>1</v>
          </cell>
          <cell r="Q452">
            <v>1</v>
          </cell>
          <cell r="X452">
            <v>1</v>
          </cell>
          <cell r="AE452">
            <v>1</v>
          </cell>
          <cell r="AI452">
            <v>1</v>
          </cell>
          <cell r="AS452">
            <v>1</v>
          </cell>
          <cell r="AT452">
            <v>1</v>
          </cell>
          <cell r="AZ452" t="str">
            <v>B</v>
          </cell>
          <cell r="BA452" t="str">
            <v>세명공업</v>
          </cell>
          <cell r="BB452" t="str">
            <v>H50A17K</v>
          </cell>
          <cell r="BC452" t="str">
            <v>MB591611A</v>
          </cell>
          <cell r="BD452" t="str">
            <v>L828</v>
          </cell>
          <cell r="BI452">
            <v>635</v>
          </cell>
          <cell r="BJ452">
            <v>2</v>
          </cell>
          <cell r="BK452">
            <v>53</v>
          </cell>
          <cell r="BL452">
            <v>29</v>
          </cell>
          <cell r="BM452"/>
          <cell r="BN452"/>
          <cell r="BO452"/>
          <cell r="BP452"/>
          <cell r="BQ452"/>
          <cell r="BR452"/>
          <cell r="BS452"/>
          <cell r="BT452"/>
          <cell r="BU452"/>
          <cell r="BV452"/>
          <cell r="BW452"/>
          <cell r="BX452"/>
          <cell r="BY452"/>
          <cell r="BZ452"/>
          <cell r="CA452"/>
          <cell r="CB452"/>
          <cell r="CC452"/>
          <cell r="CD452"/>
          <cell r="CE452"/>
          <cell r="CF452"/>
          <cell r="CG452"/>
          <cell r="CH452"/>
          <cell r="CI452"/>
          <cell r="CJ452"/>
          <cell r="CK452"/>
          <cell r="CL452"/>
          <cell r="CM452"/>
          <cell r="CN452"/>
          <cell r="CO452"/>
          <cell r="CP452"/>
          <cell r="CQ452"/>
        </row>
        <row r="453">
          <cell r="C453">
            <v>1052</v>
          </cell>
          <cell r="D453" t="str">
            <v>HQ505724</v>
          </cell>
          <cell r="E453" t="str">
            <v xml:space="preserve"> SILL SIDE OTR RR RH</v>
          </cell>
          <cell r="F453" t="str">
            <v>+661B</v>
          </cell>
          <cell r="K453">
            <v>1</v>
          </cell>
          <cell r="O453">
            <v>1</v>
          </cell>
          <cell r="Q453">
            <v>1</v>
          </cell>
          <cell r="X453">
            <v>1</v>
          </cell>
          <cell r="AE453">
            <v>1</v>
          </cell>
          <cell r="AI453">
            <v>1</v>
          </cell>
          <cell r="AS453">
            <v>1</v>
          </cell>
          <cell r="AT453">
            <v>1</v>
          </cell>
          <cell r="AZ453" t="str">
            <v>B</v>
          </cell>
          <cell r="BA453" t="str">
            <v>세명공업</v>
          </cell>
          <cell r="BB453" t="str">
            <v>H50A17K</v>
          </cell>
          <cell r="BC453" t="str">
            <v>MB591612A</v>
          </cell>
          <cell r="BD453" t="str">
            <v>L828</v>
          </cell>
          <cell r="BI453">
            <v>635</v>
          </cell>
          <cell r="BJ453">
            <v>2</v>
          </cell>
          <cell r="BK453">
            <v>53</v>
          </cell>
          <cell r="BL453">
            <v>29</v>
          </cell>
          <cell r="BM453"/>
          <cell r="BN453"/>
          <cell r="BO453"/>
          <cell r="BP453"/>
          <cell r="BQ453"/>
          <cell r="BR453"/>
          <cell r="BS453"/>
          <cell r="BT453"/>
          <cell r="BU453"/>
          <cell r="BV453"/>
          <cell r="BW453"/>
          <cell r="BX453"/>
          <cell r="BY453"/>
          <cell r="BZ453"/>
          <cell r="CA453"/>
          <cell r="CB453"/>
          <cell r="CC453"/>
          <cell r="CD453"/>
          <cell r="CE453"/>
          <cell r="CF453"/>
          <cell r="CG453"/>
          <cell r="CH453"/>
          <cell r="CI453"/>
          <cell r="CJ453"/>
          <cell r="CK453"/>
          <cell r="CL453"/>
          <cell r="CM453"/>
          <cell r="CN453"/>
          <cell r="CO453"/>
          <cell r="CP453"/>
          <cell r="CQ453"/>
        </row>
        <row r="454">
          <cell r="C454">
            <v>692</v>
          </cell>
          <cell r="D454" t="str">
            <v>MB250987A</v>
          </cell>
          <cell r="E454" t="str">
            <v xml:space="preserve"> RAIL,SIDE,UPR LH</v>
          </cell>
          <cell r="H454">
            <v>1</v>
          </cell>
          <cell r="L454">
            <v>1</v>
          </cell>
          <cell r="M454">
            <v>1</v>
          </cell>
          <cell r="N454">
            <v>1</v>
          </cell>
          <cell r="P454">
            <v>1</v>
          </cell>
          <cell r="R454">
            <v>1</v>
          </cell>
          <cell r="U454">
            <v>1</v>
          </cell>
          <cell r="W454">
            <v>1</v>
          </cell>
          <cell r="AB454">
            <v>1</v>
          </cell>
          <cell r="AC454">
            <v>1</v>
          </cell>
          <cell r="AD454">
            <v>1</v>
          </cell>
          <cell r="AF454">
            <v>1</v>
          </cell>
          <cell r="AG454"/>
          <cell r="AH454">
            <v>1</v>
          </cell>
          <cell r="AI454"/>
          <cell r="AJ454"/>
          <cell r="AK454"/>
          <cell r="AL454">
            <v>1</v>
          </cell>
          <cell r="AM454">
            <v>1</v>
          </cell>
          <cell r="AN454">
            <v>1</v>
          </cell>
          <cell r="AO454">
            <v>1</v>
          </cell>
          <cell r="AP454">
            <v>1</v>
          </cell>
          <cell r="AQ454"/>
          <cell r="AR454"/>
          <cell r="AS454"/>
          <cell r="AT454"/>
          <cell r="AU454"/>
          <cell r="AV454"/>
          <cell r="AW454">
            <v>1</v>
          </cell>
          <cell r="AX454"/>
          <cell r="AY454"/>
          <cell r="AZ454" t="str">
            <v>B</v>
          </cell>
          <cell r="BA454" t="str">
            <v>세명공업</v>
          </cell>
          <cell r="BB454" t="str">
            <v>H50A17K</v>
          </cell>
          <cell r="BC454"/>
          <cell r="BD454" t="str">
            <v>L828</v>
          </cell>
          <cell r="BE454" t="str">
            <v>S/B</v>
          </cell>
          <cell r="BF454"/>
          <cell r="BG454"/>
          <cell r="BH454"/>
          <cell r="BI454">
            <v>49</v>
          </cell>
          <cell r="BJ454">
            <v>539</v>
          </cell>
          <cell r="BK454">
            <v>28</v>
          </cell>
          <cell r="BL454">
            <v>2</v>
          </cell>
          <cell r="BM454"/>
          <cell r="BN454"/>
          <cell r="BO454"/>
          <cell r="BP454"/>
          <cell r="BQ454"/>
          <cell r="BR454"/>
          <cell r="BS454"/>
          <cell r="BT454"/>
          <cell r="BU454"/>
          <cell r="BV454"/>
          <cell r="BW454"/>
          <cell r="BX454"/>
          <cell r="BY454"/>
          <cell r="BZ454"/>
          <cell r="CA454"/>
          <cell r="CB454"/>
          <cell r="CC454"/>
          <cell r="CD454"/>
          <cell r="CE454"/>
          <cell r="CF454"/>
          <cell r="CG454"/>
          <cell r="CH454"/>
          <cell r="CI454"/>
          <cell r="CJ454"/>
          <cell r="CK454"/>
          <cell r="CL454"/>
          <cell r="CM454"/>
          <cell r="CN454"/>
          <cell r="CO454"/>
          <cell r="CP454"/>
        </row>
        <row r="455">
          <cell r="C455">
            <v>692</v>
          </cell>
          <cell r="D455" t="str">
            <v>MB250988A</v>
          </cell>
          <cell r="E455" t="str">
            <v xml:space="preserve"> RAIL,SIDE,UPR RH</v>
          </cell>
          <cell r="H455">
            <v>1</v>
          </cell>
          <cell r="L455">
            <v>1</v>
          </cell>
          <cell r="M455">
            <v>1</v>
          </cell>
          <cell r="N455">
            <v>1</v>
          </cell>
          <cell r="P455">
            <v>1</v>
          </cell>
          <cell r="R455">
            <v>1</v>
          </cell>
          <cell r="U455">
            <v>1</v>
          </cell>
          <cell r="W455">
            <v>1</v>
          </cell>
          <cell r="AB455">
            <v>1</v>
          </cell>
          <cell r="AC455">
            <v>1</v>
          </cell>
          <cell r="AD455">
            <v>1</v>
          </cell>
          <cell r="AF455">
            <v>1</v>
          </cell>
          <cell r="AG455"/>
          <cell r="AH455">
            <v>1</v>
          </cell>
          <cell r="AI455"/>
          <cell r="AJ455"/>
          <cell r="AK455"/>
          <cell r="AL455">
            <v>1</v>
          </cell>
          <cell r="AM455">
            <v>1</v>
          </cell>
          <cell r="AN455">
            <v>1</v>
          </cell>
          <cell r="AO455">
            <v>1</v>
          </cell>
          <cell r="AP455">
            <v>1</v>
          </cell>
          <cell r="AQ455"/>
          <cell r="AR455"/>
          <cell r="AS455"/>
          <cell r="AT455"/>
          <cell r="AU455"/>
          <cell r="AV455"/>
          <cell r="AW455">
            <v>1</v>
          </cell>
          <cell r="AX455"/>
          <cell r="AY455"/>
          <cell r="AZ455" t="str">
            <v>B</v>
          </cell>
          <cell r="BA455" t="str">
            <v>세명공업</v>
          </cell>
          <cell r="BB455" t="str">
            <v>H50A17K</v>
          </cell>
          <cell r="BC455"/>
          <cell r="BD455" t="str">
            <v>L828</v>
          </cell>
          <cell r="BE455" t="str">
            <v>S/B</v>
          </cell>
          <cell r="BF455"/>
          <cell r="BG455"/>
          <cell r="BH455"/>
          <cell r="BI455">
            <v>49</v>
          </cell>
          <cell r="BJ455">
            <v>539</v>
          </cell>
          <cell r="BK455">
            <v>28</v>
          </cell>
          <cell r="BL455">
            <v>2</v>
          </cell>
          <cell r="BM455"/>
          <cell r="BN455"/>
          <cell r="BO455"/>
          <cell r="BP455"/>
          <cell r="BQ455"/>
          <cell r="BR455"/>
          <cell r="BS455"/>
          <cell r="BT455"/>
          <cell r="BU455"/>
          <cell r="BV455"/>
          <cell r="BW455"/>
          <cell r="BX455"/>
          <cell r="BY455"/>
          <cell r="BZ455"/>
          <cell r="CA455"/>
          <cell r="CB455"/>
          <cell r="CC455"/>
          <cell r="CD455"/>
          <cell r="CE455"/>
          <cell r="CF455"/>
          <cell r="CG455"/>
          <cell r="CH455"/>
          <cell r="CI455"/>
          <cell r="CJ455"/>
          <cell r="CK455"/>
          <cell r="CL455"/>
          <cell r="CM455"/>
          <cell r="CN455"/>
          <cell r="CO455"/>
          <cell r="CP455"/>
        </row>
        <row r="456">
          <cell r="C456">
            <v>1358</v>
          </cell>
          <cell r="D456" t="str">
            <v>MB591503A</v>
          </cell>
          <cell r="E456" t="str">
            <v xml:space="preserve"> BOW ROOF ASSY-FRT</v>
          </cell>
          <cell r="J456">
            <v>1</v>
          </cell>
          <cell r="K456">
            <v>1</v>
          </cell>
          <cell r="O456">
            <v>1</v>
          </cell>
          <cell r="Q456">
            <v>1</v>
          </cell>
          <cell r="V456">
            <v>1</v>
          </cell>
          <cell r="X456">
            <v>1</v>
          </cell>
          <cell r="AE456">
            <v>1</v>
          </cell>
          <cell r="AI456">
            <v>1</v>
          </cell>
          <cell r="AJ456">
            <v>1</v>
          </cell>
          <cell r="AK456">
            <v>1</v>
          </cell>
          <cell r="AQ456">
            <v>1</v>
          </cell>
          <cell r="AR456">
            <v>1</v>
          </cell>
          <cell r="AS456">
            <v>1</v>
          </cell>
          <cell r="AT456">
            <v>1</v>
          </cell>
          <cell r="AZ456" t="str">
            <v>T</v>
          </cell>
          <cell r="BA456" t="str">
            <v>세명공업</v>
          </cell>
          <cell r="BB456" t="str">
            <v>H50C90K</v>
          </cell>
          <cell r="BD456" t="str">
            <v>L828</v>
          </cell>
          <cell r="BI456" t="e">
            <v>#REF!</v>
          </cell>
          <cell r="BJ456" t="e">
            <v>#REF!</v>
          </cell>
          <cell r="BK456" t="e">
            <v>#REF!</v>
          </cell>
          <cell r="BL456" t="e">
            <v>#REF!</v>
          </cell>
          <cell r="BM456"/>
          <cell r="BN456"/>
          <cell r="BO456"/>
          <cell r="BP456"/>
          <cell r="BQ456"/>
          <cell r="BR456"/>
          <cell r="BS456"/>
          <cell r="BT456"/>
          <cell r="BU456"/>
          <cell r="BV456"/>
          <cell r="BW456"/>
          <cell r="BX456"/>
          <cell r="BY456"/>
          <cell r="BZ456"/>
          <cell r="CA456"/>
          <cell r="CB456"/>
          <cell r="CC456"/>
          <cell r="CD456"/>
          <cell r="CE456"/>
          <cell r="CF456"/>
          <cell r="CG456"/>
          <cell r="CH456"/>
          <cell r="CI456"/>
          <cell r="CJ456"/>
          <cell r="CK456"/>
          <cell r="CL456"/>
          <cell r="CM456"/>
          <cell r="CN456"/>
          <cell r="CO456"/>
          <cell r="CP456"/>
          <cell r="CQ456"/>
        </row>
        <row r="457">
          <cell r="C457">
            <v>1358</v>
          </cell>
          <cell r="D457" t="str">
            <v>MB591504A</v>
          </cell>
          <cell r="E457" t="str">
            <v xml:space="preserve"> BOW ROOF ASSY-RR</v>
          </cell>
          <cell r="J457">
            <v>1</v>
          </cell>
          <cell r="K457">
            <v>1</v>
          </cell>
          <cell r="O457">
            <v>1</v>
          </cell>
          <cell r="Q457">
            <v>1</v>
          </cell>
          <cell r="V457">
            <v>1</v>
          </cell>
          <cell r="X457">
            <v>1</v>
          </cell>
          <cell r="AE457">
            <v>1</v>
          </cell>
          <cell r="AI457">
            <v>1</v>
          </cell>
          <cell r="AJ457">
            <v>1</v>
          </cell>
          <cell r="AK457">
            <v>1</v>
          </cell>
          <cell r="AQ457">
            <v>1</v>
          </cell>
          <cell r="AR457">
            <v>1</v>
          </cell>
          <cell r="AS457">
            <v>1</v>
          </cell>
          <cell r="AT457">
            <v>1</v>
          </cell>
          <cell r="AZ457" t="str">
            <v>T</v>
          </cell>
          <cell r="BA457" t="str">
            <v>세명공업</v>
          </cell>
          <cell r="BB457" t="str">
            <v>H50C90K</v>
          </cell>
          <cell r="BD457" t="str">
            <v>L828</v>
          </cell>
          <cell r="BI457" t="e">
            <v>#REF!</v>
          </cell>
          <cell r="BJ457" t="e">
            <v>#REF!</v>
          </cell>
          <cell r="BK457" t="e">
            <v>#REF!</v>
          </cell>
          <cell r="BL457" t="e">
            <v>#REF!</v>
          </cell>
          <cell r="BM457"/>
          <cell r="BN457"/>
          <cell r="BO457"/>
          <cell r="BP457"/>
          <cell r="BQ457"/>
          <cell r="BR457"/>
          <cell r="BS457"/>
          <cell r="BT457"/>
          <cell r="BU457"/>
          <cell r="BV457"/>
          <cell r="BW457"/>
          <cell r="BX457"/>
          <cell r="BY457"/>
          <cell r="BZ457"/>
          <cell r="CA457"/>
          <cell r="CB457"/>
          <cell r="CC457"/>
          <cell r="CD457"/>
          <cell r="CE457"/>
          <cell r="CF457"/>
          <cell r="CG457"/>
          <cell r="CH457"/>
          <cell r="CI457"/>
          <cell r="CJ457"/>
          <cell r="CK457"/>
          <cell r="CL457"/>
          <cell r="CM457"/>
          <cell r="CN457"/>
          <cell r="CO457"/>
          <cell r="CP457"/>
          <cell r="CQ457"/>
        </row>
        <row r="458">
          <cell r="C458">
            <v>940</v>
          </cell>
          <cell r="D458" t="str">
            <v>MB591611A</v>
          </cell>
          <cell r="E458" t="str">
            <v xml:space="preserve"> SILL,SIDE,OTR RR LH</v>
          </cell>
          <cell r="F458" t="str">
            <v>-661B</v>
          </cell>
          <cell r="I458">
            <v>1</v>
          </cell>
          <cell r="J458">
            <v>1</v>
          </cell>
          <cell r="S458">
            <v>1</v>
          </cell>
          <cell r="T458">
            <v>1</v>
          </cell>
          <cell r="V458">
            <v>1</v>
          </cell>
          <cell r="Y458">
            <v>1</v>
          </cell>
          <cell r="Z458">
            <v>1</v>
          </cell>
          <cell r="AA458">
            <v>1</v>
          </cell>
          <cell r="AE458">
            <v>1</v>
          </cell>
          <cell r="AG458">
            <v>1</v>
          </cell>
          <cell r="AI458">
            <v>1</v>
          </cell>
          <cell r="AJ458">
            <v>1</v>
          </cell>
          <cell r="AK458">
            <v>1</v>
          </cell>
          <cell r="AQ458">
            <v>1</v>
          </cell>
          <cell r="AR458">
            <v>1</v>
          </cell>
          <cell r="AS458">
            <v>1</v>
          </cell>
          <cell r="AU458">
            <v>1</v>
          </cell>
          <cell r="AV458">
            <v>1</v>
          </cell>
          <cell r="AX458">
            <v>1</v>
          </cell>
          <cell r="AY458">
            <v>1</v>
          </cell>
          <cell r="AZ458" t="str">
            <v>B</v>
          </cell>
          <cell r="BA458" t="str">
            <v>세명공업</v>
          </cell>
          <cell r="BB458" t="str">
            <v>H50A17K</v>
          </cell>
          <cell r="BD458" t="str">
            <v>L828</v>
          </cell>
          <cell r="BI458">
            <v>253</v>
          </cell>
          <cell r="BJ458">
            <v>456</v>
          </cell>
          <cell r="BK458">
            <v>90</v>
          </cell>
          <cell r="BL458">
            <v>100</v>
          </cell>
          <cell r="BM458"/>
          <cell r="BN458"/>
          <cell r="BO458"/>
          <cell r="BP458"/>
          <cell r="BQ458"/>
          <cell r="BR458"/>
          <cell r="BS458"/>
          <cell r="BT458"/>
          <cell r="BU458"/>
          <cell r="BV458"/>
          <cell r="BW458"/>
          <cell r="BX458"/>
          <cell r="BY458"/>
          <cell r="BZ458"/>
          <cell r="CA458"/>
          <cell r="CB458"/>
          <cell r="CC458"/>
          <cell r="CD458"/>
          <cell r="CE458"/>
          <cell r="CF458"/>
          <cell r="CG458"/>
          <cell r="CH458"/>
          <cell r="CI458"/>
          <cell r="CJ458"/>
          <cell r="CK458"/>
          <cell r="CL458"/>
          <cell r="CM458"/>
          <cell r="CN458"/>
          <cell r="CO458"/>
          <cell r="CP458"/>
          <cell r="CQ458"/>
        </row>
        <row r="459">
          <cell r="C459">
            <v>940</v>
          </cell>
          <cell r="D459" t="str">
            <v>MB591612A</v>
          </cell>
          <cell r="E459" t="str">
            <v xml:space="preserve"> SIDE SILL,OTR,RR RH</v>
          </cell>
          <cell r="F459" t="str">
            <v>-661B</v>
          </cell>
          <cell r="I459">
            <v>1</v>
          </cell>
          <cell r="J459">
            <v>1</v>
          </cell>
          <cell r="S459">
            <v>1</v>
          </cell>
          <cell r="T459">
            <v>1</v>
          </cell>
          <cell r="V459">
            <v>1</v>
          </cell>
          <cell r="Y459">
            <v>1</v>
          </cell>
          <cell r="Z459">
            <v>1</v>
          </cell>
          <cell r="AA459">
            <v>1</v>
          </cell>
          <cell r="AE459">
            <v>1</v>
          </cell>
          <cell r="AG459">
            <v>1</v>
          </cell>
          <cell r="AI459">
            <v>1</v>
          </cell>
          <cell r="AJ459">
            <v>1</v>
          </cell>
          <cell r="AK459">
            <v>1</v>
          </cell>
          <cell r="AQ459">
            <v>1</v>
          </cell>
          <cell r="AR459">
            <v>1</v>
          </cell>
          <cell r="AS459">
            <v>1</v>
          </cell>
          <cell r="AU459">
            <v>1</v>
          </cell>
          <cell r="AV459">
            <v>1</v>
          </cell>
          <cell r="AX459">
            <v>1</v>
          </cell>
          <cell r="AY459">
            <v>1</v>
          </cell>
          <cell r="AZ459" t="str">
            <v>B</v>
          </cell>
          <cell r="BA459" t="str">
            <v>세명공업</v>
          </cell>
          <cell r="BB459" t="str">
            <v>H50A17K</v>
          </cell>
          <cell r="BD459" t="str">
            <v>L828</v>
          </cell>
          <cell r="BI459">
            <v>253</v>
          </cell>
          <cell r="BJ459">
            <v>456</v>
          </cell>
          <cell r="BK459">
            <v>90</v>
          </cell>
          <cell r="BL459">
            <v>100</v>
          </cell>
          <cell r="BM459"/>
          <cell r="BN459"/>
          <cell r="BO459"/>
          <cell r="BP459"/>
          <cell r="BQ459"/>
          <cell r="BR459"/>
          <cell r="BS459"/>
          <cell r="BT459"/>
          <cell r="BU459"/>
          <cell r="BV459"/>
          <cell r="BW459"/>
          <cell r="BX459"/>
          <cell r="BY459"/>
          <cell r="BZ459"/>
          <cell r="CA459"/>
          <cell r="CB459"/>
          <cell r="CC459"/>
          <cell r="CD459"/>
          <cell r="CE459"/>
          <cell r="CF459"/>
          <cell r="CG459"/>
          <cell r="CH459"/>
          <cell r="CI459"/>
          <cell r="CJ459"/>
          <cell r="CK459"/>
          <cell r="CL459"/>
          <cell r="CM459"/>
          <cell r="CN459"/>
          <cell r="CO459"/>
          <cell r="CP459"/>
          <cell r="CQ459"/>
        </row>
        <row r="460">
          <cell r="C460">
            <v>0</v>
          </cell>
          <cell r="D460" t="str">
            <v>HC000061B</v>
          </cell>
          <cell r="E460" t="str">
            <v xml:space="preserve"> PILLAR ASSY-FR INR LWR,LH</v>
          </cell>
          <cell r="AZ460" t="str">
            <v>B</v>
          </cell>
          <cell r="BA460" t="str">
            <v>세명금속</v>
          </cell>
        </row>
        <row r="461">
          <cell r="C461">
            <v>2584</v>
          </cell>
          <cell r="D461" t="str">
            <v>HC000093</v>
          </cell>
          <cell r="E461" t="str">
            <v xml:space="preserve"> PANEL ,COWL TOP,INR,LHD</v>
          </cell>
          <cell r="G461">
            <v>1</v>
          </cell>
          <cell r="AZ461" t="str">
            <v>B</v>
          </cell>
          <cell r="BA461" t="str">
            <v>세명금속</v>
          </cell>
          <cell r="BB461" t="str">
            <v>H50A18K</v>
          </cell>
          <cell r="BD461" t="str">
            <v>F716</v>
          </cell>
          <cell r="BE461" t="str">
            <v>ALL</v>
          </cell>
          <cell r="BI461">
            <v>0</v>
          </cell>
          <cell r="BJ461">
            <v>0</v>
          </cell>
          <cell r="BK461">
            <v>0</v>
          </cell>
          <cell r="BL461">
            <v>0</v>
          </cell>
          <cell r="BM461"/>
          <cell r="BN461"/>
          <cell r="BO461"/>
          <cell r="BP461"/>
          <cell r="BQ461"/>
          <cell r="BR461"/>
          <cell r="BS461"/>
          <cell r="BT461"/>
          <cell r="BU461"/>
          <cell r="BV461"/>
          <cell r="BW461"/>
          <cell r="BX461"/>
          <cell r="BY461"/>
          <cell r="BZ461"/>
          <cell r="CA461"/>
          <cell r="CB461"/>
          <cell r="CC461"/>
          <cell r="CD461"/>
          <cell r="CE461"/>
          <cell r="CF461"/>
          <cell r="CG461"/>
          <cell r="CH461"/>
          <cell r="CI461"/>
          <cell r="CJ461"/>
          <cell r="CK461"/>
        </row>
        <row r="462">
          <cell r="C462">
            <v>0</v>
          </cell>
          <cell r="D462" t="str">
            <v>HC000094B</v>
          </cell>
          <cell r="E462" t="str">
            <v xml:space="preserve"> SHIELD ASSY-FR,FENDER,LH</v>
          </cell>
          <cell r="AZ462" t="str">
            <v>B</v>
          </cell>
          <cell r="BA462" t="str">
            <v>세명금속</v>
          </cell>
        </row>
        <row r="463">
          <cell r="C463">
            <v>0</v>
          </cell>
          <cell r="D463" t="str">
            <v>HC000095B</v>
          </cell>
          <cell r="E463" t="str">
            <v xml:space="preserve"> SHIELD ASSY-FR,FENDER,RH</v>
          </cell>
          <cell r="AZ463" t="str">
            <v>B</v>
          </cell>
          <cell r="BA463" t="str">
            <v>세명금속</v>
          </cell>
        </row>
        <row r="464">
          <cell r="C464">
            <v>0</v>
          </cell>
          <cell r="D464" t="str">
            <v>HC000144B</v>
          </cell>
          <cell r="E464" t="str">
            <v xml:space="preserve"> PILLAR ASSY-FR INR LWR,RH</v>
          </cell>
          <cell r="AZ464" t="str">
            <v>B</v>
          </cell>
          <cell r="BA464" t="str">
            <v>세명금속</v>
          </cell>
        </row>
        <row r="465">
          <cell r="C465">
            <v>2584</v>
          </cell>
          <cell r="D465" t="str">
            <v>HC000147</v>
          </cell>
          <cell r="E465" t="str">
            <v xml:space="preserve"> BRKT,P/ANT RH</v>
          </cell>
          <cell r="G465">
            <v>1</v>
          </cell>
          <cell r="AZ465" t="str">
            <v>B</v>
          </cell>
          <cell r="BA465" t="str">
            <v>세명금속</v>
          </cell>
          <cell r="BD465" t="str">
            <v>F716</v>
          </cell>
          <cell r="BE465" t="str">
            <v>ALL</v>
          </cell>
          <cell r="BI465">
            <v>0</v>
          </cell>
          <cell r="BJ465">
            <v>0</v>
          </cell>
          <cell r="BK465">
            <v>0</v>
          </cell>
          <cell r="BL465">
            <v>0</v>
          </cell>
          <cell r="BM465"/>
          <cell r="BN465"/>
          <cell r="BO465"/>
          <cell r="BP465"/>
          <cell r="BQ465"/>
          <cell r="BR465"/>
          <cell r="BS465"/>
          <cell r="BT465"/>
          <cell r="BU465"/>
          <cell r="BV465"/>
          <cell r="BW465"/>
          <cell r="BX465"/>
          <cell r="BY465"/>
          <cell r="BZ465"/>
          <cell r="CA465"/>
          <cell r="CB465"/>
          <cell r="CC465"/>
          <cell r="CD465"/>
          <cell r="CE465"/>
          <cell r="CF465"/>
          <cell r="CG465"/>
          <cell r="CH465"/>
          <cell r="CI465"/>
          <cell r="CJ465"/>
          <cell r="CK465"/>
        </row>
        <row r="466">
          <cell r="C466">
            <v>514</v>
          </cell>
          <cell r="D466" t="str">
            <v>HC756013</v>
          </cell>
          <cell r="E466" t="str">
            <v xml:space="preserve"> PNL RR W/HSE LH</v>
          </cell>
          <cell r="F466" t="str">
            <v>HC756011</v>
          </cell>
          <cell r="S466">
            <v>1</v>
          </cell>
          <cell r="T466">
            <v>1</v>
          </cell>
          <cell r="Y466">
            <v>1</v>
          </cell>
          <cell r="Z466">
            <v>1</v>
          </cell>
          <cell r="AA466">
            <v>1</v>
          </cell>
          <cell r="AU466">
            <v>1</v>
          </cell>
          <cell r="AV466">
            <v>1</v>
          </cell>
          <cell r="AX466">
            <v>1</v>
          </cell>
          <cell r="AY466">
            <v>1</v>
          </cell>
          <cell r="AZ466" t="str">
            <v>B</v>
          </cell>
          <cell r="BA466" t="str">
            <v>세명금속</v>
          </cell>
          <cell r="BB466" t="str">
            <v>H50A17K</v>
          </cell>
          <cell r="BC466" t="str">
            <v>H</v>
          </cell>
          <cell r="BD466" t="str">
            <v>F716</v>
          </cell>
          <cell r="BE466" t="str">
            <v>HR'</v>
          </cell>
          <cell r="BI466">
            <v>0</v>
          </cell>
          <cell r="BJ466">
            <v>456</v>
          </cell>
          <cell r="BK466">
            <v>0</v>
          </cell>
          <cell r="BL466">
            <v>35</v>
          </cell>
          <cell r="BM466"/>
          <cell r="BN466"/>
          <cell r="BO466"/>
          <cell r="BP466"/>
          <cell r="BQ466"/>
          <cell r="BR466"/>
          <cell r="BS466"/>
          <cell r="BT466"/>
          <cell r="BU466"/>
          <cell r="BV466"/>
          <cell r="BW466"/>
          <cell r="BX466"/>
          <cell r="BY466"/>
          <cell r="BZ466"/>
          <cell r="CA466"/>
          <cell r="CB466"/>
          <cell r="CC466"/>
          <cell r="CD466"/>
          <cell r="CE466"/>
          <cell r="CF466"/>
          <cell r="CG466"/>
          <cell r="CH466"/>
          <cell r="CI466"/>
          <cell r="CJ466"/>
          <cell r="CK466"/>
          <cell r="CL466"/>
          <cell r="CM466"/>
        </row>
        <row r="467">
          <cell r="C467">
            <v>514</v>
          </cell>
          <cell r="D467" t="str">
            <v>HC756014</v>
          </cell>
          <cell r="E467" t="str">
            <v xml:space="preserve"> PNL RR W/HSE RH</v>
          </cell>
          <cell r="F467" t="str">
            <v>HC756012</v>
          </cell>
          <cell r="S467">
            <v>1</v>
          </cell>
          <cell r="T467">
            <v>1</v>
          </cell>
          <cell r="Y467">
            <v>1</v>
          </cell>
          <cell r="Z467">
            <v>1</v>
          </cell>
          <cell r="AA467">
            <v>1</v>
          </cell>
          <cell r="AU467">
            <v>1</v>
          </cell>
          <cell r="AV467">
            <v>1</v>
          </cell>
          <cell r="AX467">
            <v>1</v>
          </cell>
          <cell r="AY467">
            <v>1</v>
          </cell>
          <cell r="AZ467" t="str">
            <v>B</v>
          </cell>
          <cell r="BA467" t="str">
            <v>세명금속</v>
          </cell>
          <cell r="BB467" t="str">
            <v>H50A17K</v>
          </cell>
          <cell r="BC467" t="str">
            <v>H</v>
          </cell>
          <cell r="BD467" t="str">
            <v>F716</v>
          </cell>
          <cell r="BE467" t="str">
            <v>HR'</v>
          </cell>
          <cell r="BI467">
            <v>0</v>
          </cell>
          <cell r="BJ467">
            <v>456</v>
          </cell>
          <cell r="BK467">
            <v>0</v>
          </cell>
          <cell r="BL467">
            <v>35</v>
          </cell>
          <cell r="BM467"/>
          <cell r="BN467"/>
          <cell r="BO467"/>
          <cell r="BP467"/>
          <cell r="BQ467"/>
          <cell r="BR467"/>
          <cell r="BS467"/>
          <cell r="BT467"/>
          <cell r="BU467"/>
          <cell r="BV467"/>
          <cell r="BW467"/>
          <cell r="BX467"/>
          <cell r="BY467"/>
          <cell r="BZ467"/>
          <cell r="CA467"/>
          <cell r="CB467"/>
          <cell r="CC467"/>
          <cell r="CD467"/>
          <cell r="CE467"/>
          <cell r="CF467"/>
          <cell r="CG467"/>
          <cell r="CH467"/>
          <cell r="CI467"/>
          <cell r="CJ467"/>
          <cell r="CK467"/>
          <cell r="CL467"/>
          <cell r="CM467"/>
        </row>
        <row r="468">
          <cell r="C468">
            <v>514</v>
          </cell>
          <cell r="D468" t="str">
            <v>HC756015</v>
          </cell>
          <cell r="E468" t="str">
            <v xml:space="preserve"> BRKT 3RD S/BELT MT'G LH</v>
          </cell>
          <cell r="F468" t="str">
            <v>3</v>
          </cell>
          <cell r="S468">
            <v>1</v>
          </cell>
          <cell r="T468">
            <v>1</v>
          </cell>
          <cell r="Y468">
            <v>1</v>
          </cell>
          <cell r="Z468">
            <v>1</v>
          </cell>
          <cell r="AA468">
            <v>1</v>
          </cell>
          <cell r="AU468">
            <v>1</v>
          </cell>
          <cell r="AV468">
            <v>1</v>
          </cell>
          <cell r="AX468">
            <v>1</v>
          </cell>
          <cell r="AY468">
            <v>1</v>
          </cell>
          <cell r="AZ468" t="str">
            <v>B</v>
          </cell>
          <cell r="BA468" t="str">
            <v>세명금속</v>
          </cell>
          <cell r="BB468" t="str">
            <v>H50A17K</v>
          </cell>
          <cell r="BC468" t="str">
            <v>H</v>
          </cell>
          <cell r="BD468" t="str">
            <v>F716</v>
          </cell>
          <cell r="BE468" t="str">
            <v>HR'</v>
          </cell>
          <cell r="BI468">
            <v>0</v>
          </cell>
          <cell r="BJ468">
            <v>456</v>
          </cell>
          <cell r="BK468">
            <v>0</v>
          </cell>
          <cell r="BL468">
            <v>35</v>
          </cell>
          <cell r="BM468"/>
          <cell r="BN468"/>
          <cell r="BO468"/>
          <cell r="BP468"/>
          <cell r="BQ468"/>
          <cell r="BR468"/>
          <cell r="BS468"/>
          <cell r="BT468"/>
          <cell r="BU468"/>
          <cell r="BV468"/>
          <cell r="BW468"/>
          <cell r="BX468"/>
          <cell r="BY468"/>
          <cell r="BZ468"/>
          <cell r="CA468"/>
          <cell r="CB468"/>
          <cell r="CC468"/>
          <cell r="CD468"/>
          <cell r="CE468"/>
          <cell r="CF468"/>
          <cell r="CG468"/>
          <cell r="CH468"/>
          <cell r="CI468"/>
          <cell r="CJ468"/>
          <cell r="CK468"/>
          <cell r="CL468"/>
          <cell r="CM468"/>
        </row>
        <row r="469">
          <cell r="C469">
            <v>514</v>
          </cell>
          <cell r="D469" t="str">
            <v>HC756016</v>
          </cell>
          <cell r="E469" t="str">
            <v xml:space="preserve"> BRKT 3RD S/BELT MT'G RH</v>
          </cell>
          <cell r="F469" t="str">
            <v>3</v>
          </cell>
          <cell r="S469">
            <v>1</v>
          </cell>
          <cell r="T469">
            <v>1</v>
          </cell>
          <cell r="Y469">
            <v>1</v>
          </cell>
          <cell r="Z469">
            <v>1</v>
          </cell>
          <cell r="AA469">
            <v>1</v>
          </cell>
          <cell r="AU469">
            <v>1</v>
          </cell>
          <cell r="AV469">
            <v>1</v>
          </cell>
          <cell r="AX469">
            <v>1</v>
          </cell>
          <cell r="AY469">
            <v>1</v>
          </cell>
          <cell r="AZ469" t="str">
            <v>B</v>
          </cell>
          <cell r="BA469" t="str">
            <v>세명금속</v>
          </cell>
          <cell r="BB469" t="str">
            <v>H50A17K</v>
          </cell>
          <cell r="BC469" t="str">
            <v>H</v>
          </cell>
          <cell r="BD469" t="str">
            <v>F716</v>
          </cell>
          <cell r="BE469" t="str">
            <v>HR'</v>
          </cell>
          <cell r="BI469">
            <v>0</v>
          </cell>
          <cell r="BJ469">
            <v>456</v>
          </cell>
          <cell r="BK469">
            <v>0</v>
          </cell>
          <cell r="BL469">
            <v>35</v>
          </cell>
          <cell r="BM469"/>
          <cell r="BN469"/>
          <cell r="BO469"/>
          <cell r="BP469"/>
          <cell r="BQ469"/>
          <cell r="BR469"/>
          <cell r="BS469"/>
          <cell r="BT469"/>
          <cell r="BU469"/>
          <cell r="BV469"/>
          <cell r="BW469"/>
          <cell r="BX469"/>
          <cell r="BY469"/>
          <cell r="BZ469"/>
          <cell r="CA469"/>
          <cell r="CB469"/>
          <cell r="CC469"/>
          <cell r="CD469"/>
          <cell r="CE469"/>
          <cell r="CF469"/>
          <cell r="CG469"/>
          <cell r="CH469"/>
          <cell r="CI469"/>
          <cell r="CJ469"/>
          <cell r="CK469"/>
          <cell r="CL469"/>
          <cell r="CM469"/>
        </row>
        <row r="470">
          <cell r="C470">
            <v>1028</v>
          </cell>
          <cell r="D470" t="str">
            <v>HC756019</v>
          </cell>
          <cell r="E470" t="str">
            <v xml:space="preserve"> REINF 3RD SEAT MT'G</v>
          </cell>
          <cell r="F470" t="str">
            <v>3</v>
          </cell>
          <cell r="S470">
            <v>2</v>
          </cell>
          <cell r="T470">
            <v>2</v>
          </cell>
          <cell r="Y470">
            <v>2</v>
          </cell>
          <cell r="Z470">
            <v>2</v>
          </cell>
          <cell r="AA470">
            <v>2</v>
          </cell>
          <cell r="AU470">
            <v>2</v>
          </cell>
          <cell r="AV470">
            <v>2</v>
          </cell>
          <cell r="AX470">
            <v>2</v>
          </cell>
          <cell r="AY470">
            <v>2</v>
          </cell>
          <cell r="AZ470" t="str">
            <v>B</v>
          </cell>
          <cell r="BA470" t="str">
            <v>세명금속</v>
          </cell>
          <cell r="BB470" t="str">
            <v>H50A17K</v>
          </cell>
          <cell r="BC470" t="str">
            <v>H</v>
          </cell>
          <cell r="BD470" t="str">
            <v>F716</v>
          </cell>
          <cell r="BE470" t="str">
            <v>HR'</v>
          </cell>
          <cell r="BI470">
            <v>0</v>
          </cell>
          <cell r="BJ470">
            <v>912</v>
          </cell>
          <cell r="BK470">
            <v>0</v>
          </cell>
          <cell r="BL470">
            <v>70</v>
          </cell>
          <cell r="BM470"/>
          <cell r="BN470"/>
          <cell r="BO470"/>
          <cell r="BP470"/>
          <cell r="BQ470"/>
          <cell r="BR470"/>
          <cell r="BS470"/>
          <cell r="BT470"/>
          <cell r="BU470"/>
          <cell r="BV470"/>
          <cell r="BW470"/>
          <cell r="BX470"/>
          <cell r="BY470"/>
          <cell r="BZ470"/>
          <cell r="CA470"/>
          <cell r="CB470"/>
          <cell r="CC470"/>
          <cell r="CD470"/>
          <cell r="CE470"/>
          <cell r="CF470"/>
          <cell r="CG470"/>
          <cell r="CH470"/>
          <cell r="CI470"/>
          <cell r="CJ470"/>
          <cell r="CK470"/>
          <cell r="CL470"/>
          <cell r="CM470"/>
        </row>
        <row r="471">
          <cell r="C471">
            <v>1028</v>
          </cell>
          <cell r="D471" t="str">
            <v>HC756021</v>
          </cell>
          <cell r="E471" t="str">
            <v xml:space="preserve"> REINF 3RD S/BELT MT'G</v>
          </cell>
          <cell r="F471" t="str">
            <v>3</v>
          </cell>
          <cell r="S471">
            <v>2</v>
          </cell>
          <cell r="T471">
            <v>2</v>
          </cell>
          <cell r="Y471">
            <v>2</v>
          </cell>
          <cell r="Z471">
            <v>2</v>
          </cell>
          <cell r="AA471">
            <v>2</v>
          </cell>
          <cell r="AU471">
            <v>2</v>
          </cell>
          <cell r="AV471">
            <v>2</v>
          </cell>
          <cell r="AX471">
            <v>2</v>
          </cell>
          <cell r="AY471">
            <v>2</v>
          </cell>
          <cell r="AZ471" t="str">
            <v>B</v>
          </cell>
          <cell r="BA471" t="str">
            <v>세명금속</v>
          </cell>
          <cell r="BB471" t="str">
            <v>H50A17K</v>
          </cell>
          <cell r="BC471" t="str">
            <v>H</v>
          </cell>
          <cell r="BD471" t="str">
            <v>F716</v>
          </cell>
          <cell r="BE471" t="str">
            <v>HR'</v>
          </cell>
          <cell r="BI471">
            <v>0</v>
          </cell>
          <cell r="BJ471">
            <v>912</v>
          </cell>
          <cell r="BK471">
            <v>0</v>
          </cell>
          <cell r="BL471">
            <v>70</v>
          </cell>
          <cell r="BM471"/>
          <cell r="BN471"/>
          <cell r="BO471"/>
          <cell r="BP471"/>
          <cell r="BQ471"/>
          <cell r="BR471"/>
          <cell r="BS471"/>
          <cell r="BT471"/>
          <cell r="BU471"/>
          <cell r="BV471"/>
          <cell r="BW471"/>
          <cell r="BX471"/>
          <cell r="BY471"/>
          <cell r="BZ471"/>
          <cell r="CA471"/>
          <cell r="CB471"/>
          <cell r="CC471"/>
          <cell r="CD471"/>
          <cell r="CE471"/>
          <cell r="CF471"/>
          <cell r="CG471"/>
          <cell r="CH471"/>
          <cell r="CI471"/>
          <cell r="CJ471"/>
          <cell r="CK471"/>
          <cell r="CL471"/>
          <cell r="CM471"/>
        </row>
        <row r="472">
          <cell r="C472">
            <v>131</v>
          </cell>
          <cell r="D472" t="str">
            <v>HQ505410B</v>
          </cell>
          <cell r="E472" t="str">
            <v xml:space="preserve"> SHIELD ASSY FR FENDER LH</v>
          </cell>
          <cell r="F472" t="str">
            <v>3.0유,무연</v>
          </cell>
          <cell r="W472">
            <v>1</v>
          </cell>
          <cell r="X472">
            <v>1</v>
          </cell>
          <cell r="AE472">
            <v>1</v>
          </cell>
          <cell r="AH472">
            <v>1</v>
          </cell>
          <cell r="AI472">
            <v>1</v>
          </cell>
          <cell r="AK472">
            <v>1</v>
          </cell>
          <cell r="AN472">
            <v>1</v>
          </cell>
          <cell r="AP472">
            <v>1</v>
          </cell>
          <cell r="AR472">
            <v>1</v>
          </cell>
          <cell r="AT472">
            <v>1</v>
          </cell>
          <cell r="AW472">
            <v>1</v>
          </cell>
          <cell r="AX472">
            <v>1</v>
          </cell>
          <cell r="AY472">
            <v>1</v>
          </cell>
          <cell r="AZ472" t="str">
            <v>B</v>
          </cell>
          <cell r="BA472" t="str">
            <v>세명금속</v>
          </cell>
          <cell r="BB472" t="str">
            <v>H50A14K01-4,5,8,9,14,17</v>
          </cell>
          <cell r="BC472" t="str">
            <v>HQ505450A</v>
          </cell>
          <cell r="BD472" t="str">
            <v>F716</v>
          </cell>
          <cell r="BI472">
            <v>0</v>
          </cell>
          <cell r="BJ472">
            <v>2</v>
          </cell>
          <cell r="BK472">
            <v>61</v>
          </cell>
          <cell r="BL472">
            <v>46</v>
          </cell>
          <cell r="BM472"/>
          <cell r="BN472"/>
          <cell r="BO472"/>
          <cell r="BP472"/>
          <cell r="BQ472"/>
          <cell r="BR472"/>
          <cell r="BS472"/>
          <cell r="BT472"/>
          <cell r="BU472"/>
          <cell r="BV472"/>
          <cell r="BW472"/>
          <cell r="BX472"/>
          <cell r="BY472"/>
          <cell r="BZ472"/>
          <cell r="CA472"/>
          <cell r="CB472"/>
          <cell r="CC472"/>
          <cell r="CD472"/>
          <cell r="CE472"/>
          <cell r="CF472"/>
          <cell r="CG472"/>
          <cell r="CH472"/>
          <cell r="CI472"/>
          <cell r="CJ472"/>
          <cell r="CK472"/>
          <cell r="CL472"/>
          <cell r="CM472"/>
          <cell r="CN472"/>
          <cell r="CO472"/>
          <cell r="CP472"/>
          <cell r="CQ472"/>
        </row>
        <row r="473">
          <cell r="C473">
            <v>6</v>
          </cell>
          <cell r="D473" t="str">
            <v>HQ505420A</v>
          </cell>
          <cell r="E473" t="str">
            <v xml:space="preserve"> SHIELD ASSY FR FENDER RH</v>
          </cell>
          <cell r="F473" t="str">
            <v>3.0유,무연</v>
          </cell>
          <cell r="W473">
            <v>1</v>
          </cell>
          <cell r="X473">
            <v>1</v>
          </cell>
          <cell r="AE473">
            <v>1</v>
          </cell>
          <cell r="AH473">
            <v>1</v>
          </cell>
          <cell r="AZ473" t="str">
            <v>B</v>
          </cell>
          <cell r="BA473" t="str">
            <v>세명금속</v>
          </cell>
          <cell r="BB473" t="str">
            <v>H50A14K</v>
          </cell>
          <cell r="BC473" t="str">
            <v>HC000131A</v>
          </cell>
          <cell r="BD473" t="str">
            <v>F716</v>
          </cell>
          <cell r="BI473">
            <v>0</v>
          </cell>
          <cell r="BJ473">
            <v>2</v>
          </cell>
          <cell r="BK473">
            <v>0</v>
          </cell>
          <cell r="BL473">
            <v>0</v>
          </cell>
          <cell r="BM473"/>
          <cell r="BN473"/>
          <cell r="BO473"/>
          <cell r="BP473"/>
          <cell r="BQ473"/>
          <cell r="BR473"/>
          <cell r="BS473"/>
          <cell r="BT473"/>
          <cell r="BU473"/>
          <cell r="BV473"/>
          <cell r="BW473"/>
          <cell r="BX473"/>
          <cell r="BY473"/>
          <cell r="BZ473"/>
          <cell r="CA473"/>
          <cell r="CB473"/>
          <cell r="CC473"/>
          <cell r="CD473"/>
          <cell r="CE473"/>
          <cell r="CF473"/>
          <cell r="CG473"/>
          <cell r="CH473"/>
          <cell r="CI473"/>
          <cell r="CJ473"/>
          <cell r="CK473"/>
          <cell r="CL473"/>
          <cell r="CM473"/>
          <cell r="CN473"/>
          <cell r="CO473"/>
          <cell r="CP473"/>
          <cell r="CQ473"/>
        </row>
        <row r="474">
          <cell r="C474">
            <v>2453</v>
          </cell>
          <cell r="D474" t="str">
            <v>HQ505430A</v>
          </cell>
          <cell r="E474" t="str">
            <v xml:space="preserve"> SHIELD ASSY FR FENDER LH</v>
          </cell>
          <cell r="F474" t="str">
            <v>-581A</v>
          </cell>
          <cell r="H474">
            <v>1</v>
          </cell>
          <cell r="I474">
            <v>1</v>
          </cell>
          <cell r="J474">
            <v>1</v>
          </cell>
          <cell r="K474">
            <v>1</v>
          </cell>
          <cell r="L474">
            <v>1</v>
          </cell>
          <cell r="M474">
            <v>1</v>
          </cell>
          <cell r="N474">
            <v>1</v>
          </cell>
          <cell r="O474">
            <v>1</v>
          </cell>
          <cell r="P474">
            <v>1</v>
          </cell>
          <cell r="Q474">
            <v>1</v>
          </cell>
          <cell r="R474">
            <v>1</v>
          </cell>
          <cell r="S474">
            <v>1</v>
          </cell>
          <cell r="T474">
            <v>1</v>
          </cell>
          <cell r="U474">
            <v>1</v>
          </cell>
          <cell r="V474">
            <v>1</v>
          </cell>
          <cell r="Y474">
            <v>1</v>
          </cell>
          <cell r="Z474">
            <v>1</v>
          </cell>
          <cell r="AA474">
            <v>1</v>
          </cell>
          <cell r="AB474">
            <v>1</v>
          </cell>
          <cell r="AC474">
            <v>1</v>
          </cell>
          <cell r="AD474">
            <v>1</v>
          </cell>
          <cell r="AF474">
            <v>1</v>
          </cell>
          <cell r="AG474">
            <v>1</v>
          </cell>
          <cell r="AH474"/>
          <cell r="AI474"/>
          <cell r="AJ474">
            <v>1</v>
          </cell>
          <cell r="AK474"/>
          <cell r="AL474">
            <v>1</v>
          </cell>
          <cell r="AM474">
            <v>1</v>
          </cell>
          <cell r="AN474"/>
          <cell r="AO474">
            <v>1</v>
          </cell>
          <cell r="AP474"/>
          <cell r="AQ474">
            <v>1</v>
          </cell>
          <cell r="AR474"/>
          <cell r="AS474">
            <v>1</v>
          </cell>
          <cell r="AT474"/>
          <cell r="AU474">
            <v>1</v>
          </cell>
          <cell r="AV474">
            <v>1</v>
          </cell>
          <cell r="AW474"/>
          <cell r="AX474"/>
          <cell r="AY474"/>
          <cell r="AZ474" t="str">
            <v>B</v>
          </cell>
          <cell r="BA474" t="str">
            <v>세명금속</v>
          </cell>
          <cell r="BB474"/>
          <cell r="BC474"/>
          <cell r="BD474" t="str">
            <v>F716</v>
          </cell>
          <cell r="BE474"/>
          <cell r="BF474"/>
          <cell r="BG474"/>
          <cell r="BH474"/>
          <cell r="BI474">
            <v>937</v>
          </cell>
          <cell r="BJ474">
            <v>995</v>
          </cell>
          <cell r="BK474">
            <v>57</v>
          </cell>
          <cell r="BL474">
            <v>56</v>
          </cell>
          <cell r="BM474"/>
          <cell r="BN474"/>
          <cell r="BO474"/>
          <cell r="BP474"/>
          <cell r="BQ474"/>
          <cell r="BR474"/>
          <cell r="BS474"/>
          <cell r="BT474"/>
          <cell r="BU474"/>
          <cell r="BV474"/>
          <cell r="BW474"/>
          <cell r="BX474"/>
          <cell r="BY474"/>
          <cell r="BZ474"/>
          <cell r="CA474"/>
          <cell r="CB474"/>
          <cell r="CC474"/>
          <cell r="CD474"/>
          <cell r="CE474"/>
          <cell r="CF474"/>
          <cell r="CG474"/>
          <cell r="CH474"/>
          <cell r="CI474"/>
          <cell r="CJ474"/>
          <cell r="CK474"/>
          <cell r="CL474"/>
          <cell r="CM474"/>
          <cell r="CN474"/>
          <cell r="CO474"/>
          <cell r="CP474"/>
        </row>
        <row r="475">
          <cell r="C475">
            <v>1265</v>
          </cell>
          <cell r="D475" t="str">
            <v>HQ505433</v>
          </cell>
          <cell r="E475" t="str">
            <v xml:space="preserve"> REINF SHIELD FENDER LH</v>
          </cell>
          <cell r="F475" t="str">
            <v>+651A</v>
          </cell>
          <cell r="R475">
            <v>1</v>
          </cell>
          <cell r="S475">
            <v>1</v>
          </cell>
          <cell r="T475">
            <v>1</v>
          </cell>
          <cell r="Y475">
            <v>1</v>
          </cell>
          <cell r="Z475">
            <v>1</v>
          </cell>
          <cell r="AE475">
            <v>1</v>
          </cell>
          <cell r="AF475">
            <v>1</v>
          </cell>
          <cell r="AG475">
            <v>1</v>
          </cell>
          <cell r="AH475">
            <v>1</v>
          </cell>
          <cell r="AI475">
            <v>1</v>
          </cell>
          <cell r="AJ475">
            <v>1</v>
          </cell>
          <cell r="AK475">
            <v>1</v>
          </cell>
          <cell r="AL475">
            <v>1</v>
          </cell>
          <cell r="AM475">
            <v>1</v>
          </cell>
          <cell r="AN475">
            <v>1</v>
          </cell>
          <cell r="AO475">
            <v>1</v>
          </cell>
          <cell r="AP475">
            <v>1</v>
          </cell>
          <cell r="AQ475">
            <v>1</v>
          </cell>
          <cell r="AR475">
            <v>1</v>
          </cell>
          <cell r="AS475">
            <v>1</v>
          </cell>
          <cell r="AT475">
            <v>1</v>
          </cell>
          <cell r="AU475">
            <v>1</v>
          </cell>
          <cell r="AV475">
            <v>1</v>
          </cell>
          <cell r="AW475">
            <v>1</v>
          </cell>
          <cell r="AX475">
            <v>1</v>
          </cell>
          <cell r="AY475">
            <v>1</v>
          </cell>
          <cell r="AZ475" t="str">
            <v>B</v>
          </cell>
          <cell r="BA475" t="str">
            <v>세명금속</v>
          </cell>
          <cell r="BB475" t="str">
            <v>H50A14K01-10^20</v>
          </cell>
          <cell r="BC475"/>
          <cell r="BD475" t="str">
            <v>F716</v>
          </cell>
          <cell r="BE475"/>
          <cell r="BF475"/>
          <cell r="BI475">
            <v>0</v>
          </cell>
          <cell r="BJ475">
            <v>995</v>
          </cell>
          <cell r="BK475">
            <v>118</v>
          </cell>
          <cell r="BL475">
            <v>102</v>
          </cell>
          <cell r="BM475"/>
          <cell r="BN475"/>
          <cell r="BO475"/>
          <cell r="BP475"/>
          <cell r="BQ475"/>
          <cell r="BR475"/>
          <cell r="BS475"/>
          <cell r="BT475"/>
          <cell r="BU475"/>
          <cell r="BV475"/>
          <cell r="BW475"/>
          <cell r="BX475"/>
          <cell r="BY475"/>
          <cell r="BZ475"/>
          <cell r="CA475"/>
          <cell r="CB475"/>
          <cell r="CC475"/>
          <cell r="CD475"/>
          <cell r="CE475"/>
          <cell r="CF475"/>
          <cell r="CG475"/>
          <cell r="CH475"/>
          <cell r="CI475"/>
          <cell r="CJ475"/>
          <cell r="CK475"/>
          <cell r="CL475"/>
        </row>
        <row r="476">
          <cell r="C476">
            <v>122</v>
          </cell>
          <cell r="D476" t="str">
            <v>HQ505434</v>
          </cell>
          <cell r="E476" t="str">
            <v xml:space="preserve"> BRKT RESISTO</v>
          </cell>
          <cell r="F476" t="str">
            <v>+271A</v>
          </cell>
          <cell r="AF476">
            <v>1</v>
          </cell>
          <cell r="AG476">
            <v>1</v>
          </cell>
          <cell r="AH476"/>
          <cell r="AI476"/>
          <cell r="AJ476">
            <v>1</v>
          </cell>
          <cell r="AK476"/>
          <cell r="AL476">
            <v>1</v>
          </cell>
          <cell r="AM476">
            <v>1</v>
          </cell>
          <cell r="AO476">
            <v>1</v>
          </cell>
          <cell r="AQ476">
            <v>1</v>
          </cell>
          <cell r="AS476">
            <v>1</v>
          </cell>
          <cell r="AU476">
            <v>1</v>
          </cell>
          <cell r="AV476">
            <v>1</v>
          </cell>
          <cell r="AZ476" t="str">
            <v>B</v>
          </cell>
          <cell r="BA476" t="str">
            <v>세명금속</v>
          </cell>
        </row>
        <row r="477">
          <cell r="C477">
            <v>1265</v>
          </cell>
          <cell r="D477" t="str">
            <v>HQ505443</v>
          </cell>
          <cell r="E477" t="str">
            <v xml:space="preserve"> REINF SHIELD FENDER LH</v>
          </cell>
          <cell r="F477" t="str">
            <v>+651A</v>
          </cell>
          <cell r="R477">
            <v>1</v>
          </cell>
          <cell r="S477">
            <v>1</v>
          </cell>
          <cell r="T477">
            <v>1</v>
          </cell>
          <cell r="Y477">
            <v>1</v>
          </cell>
          <cell r="Z477">
            <v>1</v>
          </cell>
          <cell r="AE477">
            <v>1</v>
          </cell>
          <cell r="AF477">
            <v>1</v>
          </cell>
          <cell r="AG477">
            <v>1</v>
          </cell>
          <cell r="AH477">
            <v>1</v>
          </cell>
          <cell r="AI477">
            <v>1</v>
          </cell>
          <cell r="AJ477">
            <v>1</v>
          </cell>
          <cell r="AK477">
            <v>1</v>
          </cell>
          <cell r="AL477">
            <v>1</v>
          </cell>
          <cell r="AM477">
            <v>1</v>
          </cell>
          <cell r="AN477">
            <v>1</v>
          </cell>
          <cell r="AO477">
            <v>1</v>
          </cell>
          <cell r="AP477">
            <v>1</v>
          </cell>
          <cell r="AQ477">
            <v>1</v>
          </cell>
          <cell r="AR477">
            <v>1</v>
          </cell>
          <cell r="AS477">
            <v>1</v>
          </cell>
          <cell r="AT477">
            <v>1</v>
          </cell>
          <cell r="AU477">
            <v>1</v>
          </cell>
          <cell r="AV477">
            <v>1</v>
          </cell>
          <cell r="AW477">
            <v>1</v>
          </cell>
          <cell r="AX477">
            <v>1</v>
          </cell>
          <cell r="AY477">
            <v>1</v>
          </cell>
          <cell r="AZ477" t="str">
            <v>B</v>
          </cell>
          <cell r="BA477" t="str">
            <v>세명금속</v>
          </cell>
          <cell r="BB477" t="str">
            <v>H50A14K02-05^09</v>
          </cell>
          <cell r="BC477"/>
          <cell r="BD477" t="str">
            <v>F716</v>
          </cell>
          <cell r="BE477"/>
          <cell r="BF477"/>
          <cell r="BI477">
            <v>0</v>
          </cell>
          <cell r="BJ477">
            <v>995</v>
          </cell>
          <cell r="BK477">
            <v>118</v>
          </cell>
          <cell r="BL477">
            <v>102</v>
          </cell>
          <cell r="BM477"/>
          <cell r="BN477"/>
          <cell r="BO477"/>
          <cell r="BP477"/>
          <cell r="BQ477"/>
          <cell r="BR477"/>
          <cell r="BS477"/>
          <cell r="BT477"/>
          <cell r="BU477"/>
          <cell r="BV477"/>
          <cell r="BW477"/>
          <cell r="BX477"/>
          <cell r="BY477"/>
          <cell r="BZ477"/>
          <cell r="CA477"/>
          <cell r="CB477"/>
          <cell r="CC477"/>
          <cell r="CD477"/>
          <cell r="CE477"/>
          <cell r="CF477"/>
          <cell r="CG477"/>
          <cell r="CH477"/>
          <cell r="CI477"/>
          <cell r="CJ477"/>
          <cell r="CK477"/>
          <cell r="CL477"/>
        </row>
        <row r="478">
          <cell r="C478">
            <v>1288</v>
          </cell>
          <cell r="D478" t="str">
            <v>HQ505450A</v>
          </cell>
          <cell r="E478" t="str">
            <v xml:space="preserve"> SHIELD ASSY FR FENDER LH</v>
          </cell>
          <cell r="F478" t="str">
            <v>+581A,DSL(ABS)</v>
          </cell>
          <cell r="K478">
            <v>1</v>
          </cell>
          <cell r="M478">
            <v>1</v>
          </cell>
          <cell r="N478">
            <v>1</v>
          </cell>
          <cell r="O478">
            <v>1</v>
          </cell>
          <cell r="P478">
            <v>1</v>
          </cell>
          <cell r="Q478">
            <v>1</v>
          </cell>
          <cell r="T478">
            <v>1</v>
          </cell>
          <cell r="AD478">
            <v>1</v>
          </cell>
          <cell r="AZ478" t="str">
            <v>B</v>
          </cell>
          <cell r="BA478" t="str">
            <v>세명금속</v>
          </cell>
          <cell r="BB478" t="str">
            <v>H50A14K01-4,5,8,9,14,17</v>
          </cell>
          <cell r="BC478" t="str">
            <v>HC000094B</v>
          </cell>
          <cell r="BD478" t="str">
            <v>F716</v>
          </cell>
          <cell r="BI478">
            <v>684</v>
          </cell>
          <cell r="BJ478">
            <v>235</v>
          </cell>
          <cell r="BK478">
            <v>0</v>
          </cell>
          <cell r="BL478">
            <v>0</v>
          </cell>
          <cell r="BM478"/>
          <cell r="BN478"/>
          <cell r="BO478"/>
          <cell r="BP478"/>
          <cell r="BQ478"/>
          <cell r="BR478"/>
          <cell r="BS478"/>
          <cell r="BT478"/>
          <cell r="BU478"/>
          <cell r="BV478"/>
          <cell r="BW478"/>
          <cell r="BX478"/>
          <cell r="BY478"/>
          <cell r="BZ478"/>
          <cell r="CA478"/>
          <cell r="CB478"/>
          <cell r="CC478"/>
          <cell r="CD478"/>
          <cell r="CE478"/>
          <cell r="CF478"/>
          <cell r="CG478"/>
          <cell r="CH478"/>
          <cell r="CI478"/>
          <cell r="CJ478"/>
          <cell r="CK478"/>
          <cell r="CL478"/>
          <cell r="CM478"/>
          <cell r="CN478"/>
          <cell r="CO478"/>
          <cell r="CP478"/>
        </row>
        <row r="479">
          <cell r="C479">
            <v>2454</v>
          </cell>
          <cell r="D479" t="str">
            <v>HQ505460A</v>
          </cell>
          <cell r="E479" t="str">
            <v xml:space="preserve"> SHIELD ASSY FR FENDER RH</v>
          </cell>
          <cell r="F479" t="str">
            <v>DSL ALL</v>
          </cell>
          <cell r="H479">
            <v>1</v>
          </cell>
          <cell r="I479">
            <v>1</v>
          </cell>
          <cell r="J479">
            <v>1</v>
          </cell>
          <cell r="K479">
            <v>1</v>
          </cell>
          <cell r="L479">
            <v>1</v>
          </cell>
          <cell r="M479">
            <v>1</v>
          </cell>
          <cell r="N479">
            <v>1</v>
          </cell>
          <cell r="O479">
            <v>1</v>
          </cell>
          <cell r="P479">
            <v>1</v>
          </cell>
          <cell r="Q479">
            <v>1</v>
          </cell>
          <cell r="R479">
            <v>1</v>
          </cell>
          <cell r="S479">
            <v>1</v>
          </cell>
          <cell r="T479">
            <v>1</v>
          </cell>
          <cell r="U479">
            <v>1</v>
          </cell>
          <cell r="V479">
            <v>1</v>
          </cell>
          <cell r="Y479">
            <v>1</v>
          </cell>
          <cell r="Z479">
            <v>1</v>
          </cell>
          <cell r="AA479">
            <v>1</v>
          </cell>
          <cell r="AB479">
            <v>1</v>
          </cell>
          <cell r="AC479">
            <v>1</v>
          </cell>
          <cell r="AD479">
            <v>1</v>
          </cell>
          <cell r="AF479">
            <v>1</v>
          </cell>
          <cell r="AG479">
            <v>1</v>
          </cell>
          <cell r="AH479"/>
          <cell r="AI479"/>
          <cell r="AJ479">
            <v>1</v>
          </cell>
          <cell r="AK479">
            <v>1</v>
          </cell>
          <cell r="AL479">
            <v>1</v>
          </cell>
          <cell r="AM479">
            <v>1</v>
          </cell>
          <cell r="AN479"/>
          <cell r="AO479">
            <v>1</v>
          </cell>
          <cell r="AP479"/>
          <cell r="AQ479">
            <v>1</v>
          </cell>
          <cell r="AR479"/>
          <cell r="AS479">
            <v>1</v>
          </cell>
          <cell r="AT479"/>
          <cell r="AU479">
            <v>1</v>
          </cell>
          <cell r="AV479">
            <v>1</v>
          </cell>
          <cell r="AW479"/>
          <cell r="AX479">
            <v>1</v>
          </cell>
          <cell r="AY479"/>
          <cell r="AZ479" t="str">
            <v>B</v>
          </cell>
          <cell r="BA479" t="str">
            <v>세명금속</v>
          </cell>
          <cell r="BB479" t="str">
            <v>H50A14K32-1,6,7</v>
          </cell>
          <cell r="BC479" t="str">
            <v>HC000095A</v>
          </cell>
          <cell r="BD479" t="str">
            <v>F716</v>
          </cell>
          <cell r="BE479"/>
          <cell r="BF479"/>
          <cell r="BG479"/>
          <cell r="BH479"/>
          <cell r="BI479">
            <v>937</v>
          </cell>
          <cell r="BJ479">
            <v>995</v>
          </cell>
          <cell r="BK479">
            <v>58</v>
          </cell>
          <cell r="BL479">
            <v>56</v>
          </cell>
          <cell r="BM479"/>
          <cell r="BN479"/>
          <cell r="BO479"/>
          <cell r="BP479"/>
          <cell r="BQ479"/>
          <cell r="BR479"/>
          <cell r="BS479"/>
          <cell r="BT479"/>
          <cell r="BU479"/>
          <cell r="BV479"/>
          <cell r="BW479"/>
          <cell r="BX479"/>
          <cell r="BY479"/>
          <cell r="BZ479"/>
          <cell r="CA479"/>
          <cell r="CB479"/>
          <cell r="CC479"/>
          <cell r="CD479"/>
          <cell r="CE479"/>
          <cell r="CF479"/>
          <cell r="CG479"/>
          <cell r="CH479"/>
          <cell r="CI479"/>
          <cell r="CJ479"/>
          <cell r="CK479"/>
          <cell r="CL479"/>
          <cell r="CM479"/>
          <cell r="CN479"/>
          <cell r="CO479"/>
          <cell r="CP479"/>
        </row>
        <row r="480">
          <cell r="C480">
            <v>124</v>
          </cell>
          <cell r="D480" t="str">
            <v>HQ505480</v>
          </cell>
          <cell r="E480" t="str">
            <v xml:space="preserve"> SHIELD ASSY FR FENDE</v>
          </cell>
          <cell r="AI480">
            <v>1</v>
          </cell>
          <cell r="AN480">
            <v>1</v>
          </cell>
          <cell r="AP480">
            <v>1</v>
          </cell>
          <cell r="AR480">
            <v>1</v>
          </cell>
          <cell r="AT480">
            <v>1</v>
          </cell>
          <cell r="AW480">
            <v>1</v>
          </cell>
          <cell r="AY480">
            <v>1</v>
          </cell>
          <cell r="AZ480" t="str">
            <v>B</v>
          </cell>
          <cell r="BA480" t="str">
            <v>세명금속</v>
          </cell>
        </row>
        <row r="481">
          <cell r="C481">
            <v>1155</v>
          </cell>
          <cell r="D481" t="str">
            <v>HQ505651</v>
          </cell>
          <cell r="E481" t="str">
            <v xml:space="preserve"> SILL SIDE OTR LH</v>
          </cell>
          <cell r="F481" t="str">
            <v>+661B</v>
          </cell>
          <cell r="K481">
            <v>1</v>
          </cell>
          <cell r="M481">
            <v>1</v>
          </cell>
          <cell r="N481">
            <v>1</v>
          </cell>
          <cell r="O481">
            <v>1</v>
          </cell>
          <cell r="P481">
            <v>1</v>
          </cell>
          <cell r="Q481">
            <v>1</v>
          </cell>
          <cell r="W481">
            <v>1</v>
          </cell>
          <cell r="X481">
            <v>1</v>
          </cell>
          <cell r="AD481">
            <v>1</v>
          </cell>
          <cell r="AE481">
            <v>1</v>
          </cell>
          <cell r="AH481">
            <v>1</v>
          </cell>
          <cell r="AI481">
            <v>1</v>
          </cell>
          <cell r="AO481">
            <v>1</v>
          </cell>
          <cell r="AP481">
            <v>1</v>
          </cell>
          <cell r="AS481">
            <v>1</v>
          </cell>
          <cell r="AT481">
            <v>1</v>
          </cell>
          <cell r="AW481">
            <v>1</v>
          </cell>
          <cell r="AZ481" t="str">
            <v>B</v>
          </cell>
          <cell r="BA481" t="str">
            <v>세명금속</v>
          </cell>
          <cell r="BB481" t="str">
            <v>H50A16K</v>
          </cell>
          <cell r="BC481" t="str">
            <v>MB275751A</v>
          </cell>
          <cell r="BD481" t="str">
            <v>F716</v>
          </cell>
          <cell r="BI481">
            <v>684</v>
          </cell>
          <cell r="BJ481">
            <v>2</v>
          </cell>
          <cell r="BK481">
            <v>61</v>
          </cell>
          <cell r="BL481">
            <v>31</v>
          </cell>
          <cell r="BM481"/>
          <cell r="BN481"/>
          <cell r="BO481"/>
          <cell r="BP481"/>
          <cell r="BQ481"/>
          <cell r="BR481"/>
          <cell r="BS481"/>
          <cell r="BT481"/>
          <cell r="BU481"/>
          <cell r="BV481"/>
          <cell r="BW481"/>
          <cell r="BX481"/>
          <cell r="BY481"/>
          <cell r="BZ481"/>
          <cell r="CA481"/>
          <cell r="CB481"/>
          <cell r="CC481"/>
          <cell r="CD481"/>
          <cell r="CE481"/>
          <cell r="CF481"/>
          <cell r="CG481"/>
          <cell r="CH481"/>
          <cell r="CI481"/>
          <cell r="CJ481"/>
          <cell r="CK481"/>
          <cell r="CL481"/>
          <cell r="CM481"/>
          <cell r="CN481"/>
          <cell r="CO481"/>
          <cell r="CP481"/>
          <cell r="CQ481"/>
        </row>
        <row r="482">
          <cell r="C482">
            <v>1155</v>
          </cell>
          <cell r="D482" t="str">
            <v>HQ505652</v>
          </cell>
          <cell r="E482" t="str">
            <v xml:space="preserve"> SILL SIDE OTR RH</v>
          </cell>
          <cell r="F482" t="str">
            <v>+661B</v>
          </cell>
          <cell r="K482">
            <v>1</v>
          </cell>
          <cell r="M482">
            <v>1</v>
          </cell>
          <cell r="N482">
            <v>1</v>
          </cell>
          <cell r="O482">
            <v>1</v>
          </cell>
          <cell r="P482">
            <v>1</v>
          </cell>
          <cell r="Q482">
            <v>1</v>
          </cell>
          <cell r="W482">
            <v>1</v>
          </cell>
          <cell r="X482">
            <v>1</v>
          </cell>
          <cell r="AD482">
            <v>1</v>
          </cell>
          <cell r="AE482">
            <v>1</v>
          </cell>
          <cell r="AH482">
            <v>1</v>
          </cell>
          <cell r="AI482">
            <v>1</v>
          </cell>
          <cell r="AO482">
            <v>1</v>
          </cell>
          <cell r="AP482">
            <v>1</v>
          </cell>
          <cell r="AS482">
            <v>1</v>
          </cell>
          <cell r="AT482">
            <v>1</v>
          </cell>
          <cell r="AW482">
            <v>1</v>
          </cell>
          <cell r="AZ482" t="str">
            <v>B</v>
          </cell>
          <cell r="BA482" t="str">
            <v>세명금속</v>
          </cell>
          <cell r="BB482" t="str">
            <v>H50A16K</v>
          </cell>
          <cell r="BC482" t="str">
            <v>MB275752A</v>
          </cell>
          <cell r="BD482" t="str">
            <v>F716</v>
          </cell>
          <cell r="BI482">
            <v>684</v>
          </cell>
          <cell r="BJ482">
            <v>2</v>
          </cell>
          <cell r="BK482">
            <v>61</v>
          </cell>
          <cell r="BL482">
            <v>31</v>
          </cell>
          <cell r="BM482"/>
          <cell r="BN482"/>
          <cell r="BO482"/>
          <cell r="BP482"/>
          <cell r="BQ482"/>
          <cell r="BR482"/>
          <cell r="BS482"/>
          <cell r="BT482"/>
          <cell r="BU482"/>
          <cell r="BV482"/>
          <cell r="BW482"/>
          <cell r="BX482"/>
          <cell r="BY482"/>
          <cell r="BZ482"/>
          <cell r="CA482"/>
          <cell r="CB482"/>
          <cell r="CC482"/>
          <cell r="CD482"/>
          <cell r="CE482"/>
          <cell r="CF482"/>
          <cell r="CG482"/>
          <cell r="CH482"/>
          <cell r="CI482"/>
          <cell r="CJ482"/>
          <cell r="CK482"/>
          <cell r="CL482"/>
          <cell r="CM482"/>
          <cell r="CN482"/>
          <cell r="CO482"/>
          <cell r="CP482"/>
          <cell r="CQ482"/>
        </row>
        <row r="483">
          <cell r="C483">
            <v>2584</v>
          </cell>
          <cell r="D483" t="str">
            <v>MB250481A</v>
          </cell>
          <cell r="E483" t="str">
            <v xml:space="preserve"> PANEL ,COWL TOP,OTR</v>
          </cell>
          <cell r="G483">
            <v>1</v>
          </cell>
          <cell r="AZ483" t="str">
            <v>B</v>
          </cell>
          <cell r="BA483" t="str">
            <v>세명금속</v>
          </cell>
          <cell r="BB483" t="str">
            <v>H50A18K</v>
          </cell>
          <cell r="BD483" t="str">
            <v>F716</v>
          </cell>
          <cell r="BE483" t="str">
            <v>ALL</v>
          </cell>
          <cell r="BI483">
            <v>0</v>
          </cell>
          <cell r="BJ483">
            <v>0</v>
          </cell>
          <cell r="BK483">
            <v>0</v>
          </cell>
          <cell r="BL483">
            <v>0</v>
          </cell>
          <cell r="BM483"/>
          <cell r="BN483"/>
          <cell r="BO483"/>
          <cell r="BP483"/>
          <cell r="BQ483"/>
          <cell r="BR483"/>
          <cell r="BS483"/>
          <cell r="BT483"/>
          <cell r="BU483"/>
          <cell r="BV483"/>
          <cell r="BW483"/>
          <cell r="BX483"/>
          <cell r="BY483"/>
          <cell r="BZ483"/>
          <cell r="CA483"/>
          <cell r="CB483"/>
          <cell r="CC483"/>
          <cell r="CD483"/>
          <cell r="CE483"/>
          <cell r="CF483"/>
          <cell r="CG483"/>
          <cell r="CH483"/>
          <cell r="CI483"/>
          <cell r="CJ483"/>
          <cell r="CK483"/>
        </row>
        <row r="484">
          <cell r="C484">
            <v>692</v>
          </cell>
          <cell r="D484" t="str">
            <v>MB250919A</v>
          </cell>
          <cell r="E484" t="str">
            <v xml:space="preserve"> PANEL,RR W/HSE,INR UPR LH</v>
          </cell>
          <cell r="H484">
            <v>1</v>
          </cell>
          <cell r="L484">
            <v>1</v>
          </cell>
          <cell r="M484">
            <v>1</v>
          </cell>
          <cell r="N484">
            <v>1</v>
          </cell>
          <cell r="P484">
            <v>1</v>
          </cell>
          <cell r="R484">
            <v>1</v>
          </cell>
          <cell r="U484">
            <v>1</v>
          </cell>
          <cell r="W484">
            <v>1</v>
          </cell>
          <cell r="AB484">
            <v>1</v>
          </cell>
          <cell r="AC484">
            <v>1</v>
          </cell>
          <cell r="AD484">
            <v>1</v>
          </cell>
          <cell r="AF484">
            <v>1</v>
          </cell>
          <cell r="AG484"/>
          <cell r="AH484">
            <v>1</v>
          </cell>
          <cell r="AI484"/>
          <cell r="AJ484"/>
          <cell r="AK484"/>
          <cell r="AL484">
            <v>1</v>
          </cell>
          <cell r="AM484">
            <v>1</v>
          </cell>
          <cell r="AN484">
            <v>1</v>
          </cell>
          <cell r="AO484">
            <v>1</v>
          </cell>
          <cell r="AP484">
            <v>1</v>
          </cell>
          <cell r="AQ484"/>
          <cell r="AR484"/>
          <cell r="AS484"/>
          <cell r="AT484"/>
          <cell r="AU484"/>
          <cell r="AV484"/>
          <cell r="AW484">
            <v>1</v>
          </cell>
          <cell r="AX484"/>
          <cell r="AY484"/>
          <cell r="AZ484" t="str">
            <v>B</v>
          </cell>
          <cell r="BA484" t="str">
            <v>세명금속</v>
          </cell>
          <cell r="BB484" t="str">
            <v>H50A17K</v>
          </cell>
          <cell r="BC484"/>
          <cell r="BD484" t="str">
            <v>F716</v>
          </cell>
          <cell r="BE484" t="str">
            <v>S/B</v>
          </cell>
          <cell r="BF484"/>
          <cell r="BG484"/>
          <cell r="BH484"/>
          <cell r="BI484">
            <v>49</v>
          </cell>
          <cell r="BJ484">
            <v>539</v>
          </cell>
          <cell r="BK484">
            <v>28</v>
          </cell>
          <cell r="BL484">
            <v>2</v>
          </cell>
          <cell r="BM484"/>
          <cell r="BN484"/>
          <cell r="BO484"/>
          <cell r="BP484"/>
          <cell r="BQ484"/>
          <cell r="BR484"/>
          <cell r="BS484"/>
          <cell r="BT484"/>
          <cell r="BU484"/>
          <cell r="BV484"/>
          <cell r="BW484"/>
          <cell r="BX484"/>
          <cell r="BY484"/>
          <cell r="BZ484"/>
          <cell r="CA484"/>
          <cell r="CB484"/>
          <cell r="CC484"/>
          <cell r="CD484"/>
          <cell r="CE484"/>
          <cell r="CF484"/>
          <cell r="CG484"/>
          <cell r="CH484"/>
          <cell r="CI484"/>
          <cell r="CJ484"/>
          <cell r="CK484"/>
          <cell r="CL484"/>
          <cell r="CM484"/>
          <cell r="CN484"/>
          <cell r="CO484"/>
          <cell r="CP484"/>
        </row>
        <row r="485">
          <cell r="C485">
            <v>692</v>
          </cell>
          <cell r="D485" t="str">
            <v>MB250920A</v>
          </cell>
          <cell r="E485" t="str">
            <v xml:space="preserve"> PANEL,RR W/HAE,INR UPR RH</v>
          </cell>
          <cell r="H485">
            <v>1</v>
          </cell>
          <cell r="L485">
            <v>1</v>
          </cell>
          <cell r="M485">
            <v>1</v>
          </cell>
          <cell r="N485">
            <v>1</v>
          </cell>
          <cell r="P485">
            <v>1</v>
          </cell>
          <cell r="R485">
            <v>1</v>
          </cell>
          <cell r="U485">
            <v>1</v>
          </cell>
          <cell r="W485">
            <v>1</v>
          </cell>
          <cell r="AB485">
            <v>1</v>
          </cell>
          <cell r="AC485">
            <v>1</v>
          </cell>
          <cell r="AD485">
            <v>1</v>
          </cell>
          <cell r="AF485">
            <v>1</v>
          </cell>
          <cell r="AG485"/>
          <cell r="AH485">
            <v>1</v>
          </cell>
          <cell r="AI485"/>
          <cell r="AJ485"/>
          <cell r="AK485"/>
          <cell r="AL485">
            <v>1</v>
          </cell>
          <cell r="AM485">
            <v>1</v>
          </cell>
          <cell r="AN485">
            <v>1</v>
          </cell>
          <cell r="AO485">
            <v>1</v>
          </cell>
          <cell r="AP485">
            <v>1</v>
          </cell>
          <cell r="AQ485"/>
          <cell r="AR485"/>
          <cell r="AS485"/>
          <cell r="AT485"/>
          <cell r="AU485"/>
          <cell r="AV485"/>
          <cell r="AW485">
            <v>1</v>
          </cell>
          <cell r="AX485"/>
          <cell r="AY485"/>
          <cell r="AZ485" t="str">
            <v>B</v>
          </cell>
          <cell r="BA485" t="str">
            <v>세명금속</v>
          </cell>
          <cell r="BB485" t="str">
            <v>H50A17K</v>
          </cell>
          <cell r="BC485"/>
          <cell r="BD485" t="str">
            <v>F716</v>
          </cell>
          <cell r="BE485" t="str">
            <v>S/B</v>
          </cell>
          <cell r="BF485"/>
          <cell r="BG485"/>
          <cell r="BH485"/>
          <cell r="BI485">
            <v>49</v>
          </cell>
          <cell r="BJ485">
            <v>539</v>
          </cell>
          <cell r="BK485">
            <v>28</v>
          </cell>
          <cell r="BL485">
            <v>2</v>
          </cell>
          <cell r="BM485"/>
          <cell r="BN485"/>
          <cell r="BO485"/>
          <cell r="BP485"/>
          <cell r="BQ485"/>
          <cell r="BR485"/>
          <cell r="BS485"/>
          <cell r="BT485"/>
          <cell r="BU485"/>
          <cell r="BV485"/>
          <cell r="BW485"/>
          <cell r="BX485"/>
          <cell r="BY485"/>
          <cell r="BZ485"/>
          <cell r="CA485"/>
          <cell r="CB485"/>
          <cell r="CC485"/>
          <cell r="CD485"/>
          <cell r="CE485"/>
          <cell r="CF485"/>
          <cell r="CG485"/>
          <cell r="CH485"/>
          <cell r="CI485"/>
          <cell r="CJ485"/>
          <cell r="CK485"/>
          <cell r="CL485"/>
          <cell r="CM485"/>
          <cell r="CN485"/>
          <cell r="CO485"/>
          <cell r="CP485"/>
        </row>
        <row r="486">
          <cell r="C486">
            <v>1378</v>
          </cell>
          <cell r="D486" t="str">
            <v>MB275089A</v>
          </cell>
          <cell r="E486" t="str">
            <v xml:space="preserve"> PANEL,RR W/HSE,INR  LH</v>
          </cell>
          <cell r="I486">
            <v>1</v>
          </cell>
          <cell r="J486">
            <v>1</v>
          </cell>
          <cell r="K486">
            <v>1</v>
          </cell>
          <cell r="O486">
            <v>1</v>
          </cell>
          <cell r="Q486">
            <v>1</v>
          </cell>
          <cell r="V486">
            <v>1</v>
          </cell>
          <cell r="X486">
            <v>1</v>
          </cell>
          <cell r="AE486">
            <v>1</v>
          </cell>
          <cell r="AG486">
            <v>1</v>
          </cell>
          <cell r="AI486">
            <v>1</v>
          </cell>
          <cell r="AJ486">
            <v>1</v>
          </cell>
          <cell r="AK486">
            <v>1</v>
          </cell>
          <cell r="AQ486">
            <v>1</v>
          </cell>
          <cell r="AR486">
            <v>1</v>
          </cell>
          <cell r="AS486">
            <v>1</v>
          </cell>
          <cell r="AT486">
            <v>1</v>
          </cell>
          <cell r="AZ486" t="str">
            <v>B</v>
          </cell>
          <cell r="BA486" t="str">
            <v>세명금속</v>
          </cell>
          <cell r="BB486" t="str">
            <v>H50A17K</v>
          </cell>
          <cell r="BD486" t="str">
            <v>F716</v>
          </cell>
          <cell r="BI486">
            <v>888</v>
          </cell>
          <cell r="BJ486">
            <v>2</v>
          </cell>
          <cell r="BK486">
            <v>90</v>
          </cell>
          <cell r="BL486">
            <v>65</v>
          </cell>
          <cell r="BM486"/>
          <cell r="BN486"/>
          <cell r="BO486"/>
          <cell r="BP486"/>
          <cell r="BQ486"/>
          <cell r="BR486"/>
          <cell r="BS486"/>
          <cell r="BT486"/>
          <cell r="BU486"/>
          <cell r="BV486"/>
          <cell r="BW486"/>
          <cell r="BX486"/>
          <cell r="BY486"/>
          <cell r="BZ486"/>
          <cell r="CA486"/>
          <cell r="CB486"/>
          <cell r="CC486"/>
          <cell r="CD486"/>
          <cell r="CE486"/>
          <cell r="CF486"/>
          <cell r="CG486"/>
          <cell r="CH486"/>
          <cell r="CI486"/>
          <cell r="CJ486"/>
          <cell r="CK486"/>
          <cell r="CL486"/>
          <cell r="CM486"/>
          <cell r="CN486"/>
          <cell r="CO486"/>
          <cell r="CP486"/>
          <cell r="CQ486"/>
        </row>
        <row r="487">
          <cell r="C487">
            <v>1378</v>
          </cell>
          <cell r="D487" t="str">
            <v>MB275090A</v>
          </cell>
          <cell r="E487" t="str">
            <v xml:space="preserve"> PANEL,RR W/HAE,INR  RH</v>
          </cell>
          <cell r="I487">
            <v>1</v>
          </cell>
          <cell r="J487">
            <v>1</v>
          </cell>
          <cell r="K487">
            <v>1</v>
          </cell>
          <cell r="O487">
            <v>1</v>
          </cell>
          <cell r="Q487">
            <v>1</v>
          </cell>
          <cell r="V487">
            <v>1</v>
          </cell>
          <cell r="X487">
            <v>1</v>
          </cell>
          <cell r="AE487">
            <v>1</v>
          </cell>
          <cell r="AG487">
            <v>1</v>
          </cell>
          <cell r="AI487">
            <v>1</v>
          </cell>
          <cell r="AJ487">
            <v>1</v>
          </cell>
          <cell r="AK487">
            <v>1</v>
          </cell>
          <cell r="AQ487">
            <v>1</v>
          </cell>
          <cell r="AR487">
            <v>1</v>
          </cell>
          <cell r="AS487">
            <v>1</v>
          </cell>
          <cell r="AT487">
            <v>1</v>
          </cell>
          <cell r="AZ487" t="str">
            <v>B</v>
          </cell>
          <cell r="BA487" t="str">
            <v>세명금속</v>
          </cell>
          <cell r="BB487" t="str">
            <v>H50A17K</v>
          </cell>
          <cell r="BD487" t="str">
            <v>F716</v>
          </cell>
          <cell r="BI487">
            <v>888</v>
          </cell>
          <cell r="BJ487">
            <v>2</v>
          </cell>
          <cell r="BK487">
            <v>90</v>
          </cell>
          <cell r="BL487">
            <v>65</v>
          </cell>
          <cell r="BM487"/>
          <cell r="BN487"/>
          <cell r="BO487"/>
          <cell r="BP487"/>
          <cell r="BQ487"/>
          <cell r="BR487"/>
          <cell r="BS487"/>
          <cell r="BT487"/>
          <cell r="BU487"/>
          <cell r="BV487"/>
          <cell r="BW487"/>
          <cell r="BX487"/>
          <cell r="BY487"/>
          <cell r="BZ487"/>
          <cell r="CA487"/>
          <cell r="CB487"/>
          <cell r="CC487"/>
          <cell r="CD487"/>
          <cell r="CE487"/>
          <cell r="CF487"/>
          <cell r="CG487"/>
          <cell r="CH487"/>
          <cell r="CI487"/>
          <cell r="CJ487"/>
          <cell r="CK487"/>
          <cell r="CL487"/>
          <cell r="CM487"/>
          <cell r="CN487"/>
          <cell r="CO487"/>
          <cell r="CP487"/>
          <cell r="CQ487"/>
        </row>
        <row r="488">
          <cell r="C488">
            <v>2087</v>
          </cell>
          <cell r="D488" t="str">
            <v>MB275751A</v>
          </cell>
          <cell r="E488" t="str">
            <v xml:space="preserve"> SIDE SILL OTR LH</v>
          </cell>
          <cell r="F488" t="str">
            <v>-661B</v>
          </cell>
          <cell r="H488">
            <v>1</v>
          </cell>
          <cell r="I488">
            <v>1</v>
          </cell>
          <cell r="J488">
            <v>1</v>
          </cell>
          <cell r="K488">
            <v>1</v>
          </cell>
          <cell r="L488">
            <v>1</v>
          </cell>
          <cell r="M488">
            <v>1</v>
          </cell>
          <cell r="N488">
            <v>1</v>
          </cell>
          <cell r="O488">
            <v>1</v>
          </cell>
          <cell r="R488">
            <v>1</v>
          </cell>
          <cell r="S488">
            <v>1</v>
          </cell>
          <cell r="T488">
            <v>1</v>
          </cell>
          <cell r="U488">
            <v>1</v>
          </cell>
          <cell r="V488">
            <v>1</v>
          </cell>
          <cell r="Y488">
            <v>1</v>
          </cell>
          <cell r="Z488">
            <v>1</v>
          </cell>
          <cell r="AA488">
            <v>1</v>
          </cell>
          <cell r="AB488">
            <v>1</v>
          </cell>
          <cell r="AC488">
            <v>1</v>
          </cell>
          <cell r="AD488">
            <v>1</v>
          </cell>
          <cell r="AE488">
            <v>1</v>
          </cell>
          <cell r="AF488">
            <v>1</v>
          </cell>
          <cell r="AG488">
            <v>1</v>
          </cell>
          <cell r="AH488">
            <v>1</v>
          </cell>
          <cell r="AI488">
            <v>1</v>
          </cell>
          <cell r="AJ488">
            <v>1</v>
          </cell>
          <cell r="AK488">
            <v>1</v>
          </cell>
          <cell r="AL488">
            <v>1</v>
          </cell>
          <cell r="AM488">
            <v>1</v>
          </cell>
          <cell r="AN488">
            <v>1</v>
          </cell>
          <cell r="AO488">
            <v>1</v>
          </cell>
          <cell r="AP488"/>
          <cell r="AQ488">
            <v>1</v>
          </cell>
          <cell r="AR488">
            <v>1</v>
          </cell>
          <cell r="AS488">
            <v>1</v>
          </cell>
          <cell r="AT488"/>
          <cell r="AU488">
            <v>1</v>
          </cell>
          <cell r="AV488">
            <v>1</v>
          </cell>
          <cell r="AW488">
            <v>1</v>
          </cell>
          <cell r="AX488">
            <v>1</v>
          </cell>
          <cell r="AY488">
            <v>1</v>
          </cell>
          <cell r="AZ488" t="str">
            <v>B</v>
          </cell>
          <cell r="BA488" t="str">
            <v>세명금속</v>
          </cell>
          <cell r="BB488" t="str">
            <v>H50A16K</v>
          </cell>
          <cell r="BD488" t="str">
            <v>F716</v>
          </cell>
          <cell r="BE488" t="str">
            <v>ALL</v>
          </cell>
          <cell r="BI488">
            <v>671</v>
          </cell>
          <cell r="BJ488">
            <v>995</v>
          </cell>
          <cell r="BK488">
            <v>118</v>
          </cell>
          <cell r="BL488">
            <v>102</v>
          </cell>
          <cell r="BM488"/>
          <cell r="BN488"/>
          <cell r="BO488"/>
          <cell r="BP488"/>
          <cell r="BQ488"/>
          <cell r="BR488"/>
          <cell r="BS488"/>
          <cell r="BT488"/>
          <cell r="BU488"/>
          <cell r="BV488"/>
          <cell r="BW488"/>
          <cell r="BX488"/>
          <cell r="BY488"/>
          <cell r="BZ488"/>
          <cell r="CA488"/>
          <cell r="CB488"/>
          <cell r="CC488"/>
          <cell r="CD488"/>
          <cell r="CE488"/>
          <cell r="CF488"/>
          <cell r="CG488"/>
          <cell r="CH488"/>
          <cell r="CI488"/>
          <cell r="CJ488"/>
          <cell r="CK488"/>
        </row>
        <row r="489">
          <cell r="C489">
            <v>2087</v>
          </cell>
          <cell r="D489" t="str">
            <v>MB275752A</v>
          </cell>
          <cell r="E489" t="str">
            <v xml:space="preserve"> SILL,SIDE,OTR RH</v>
          </cell>
          <cell r="F489" t="str">
            <v>-661B</v>
          </cell>
          <cell r="H489">
            <v>1</v>
          </cell>
          <cell r="I489">
            <v>1</v>
          </cell>
          <cell r="J489">
            <v>1</v>
          </cell>
          <cell r="K489">
            <v>1</v>
          </cell>
          <cell r="L489">
            <v>1</v>
          </cell>
          <cell r="M489">
            <v>1</v>
          </cell>
          <cell r="N489">
            <v>1</v>
          </cell>
          <cell r="O489">
            <v>1</v>
          </cell>
          <cell r="R489">
            <v>1</v>
          </cell>
          <cell r="S489">
            <v>1</v>
          </cell>
          <cell r="T489">
            <v>1</v>
          </cell>
          <cell r="U489">
            <v>1</v>
          </cell>
          <cell r="V489">
            <v>1</v>
          </cell>
          <cell r="Y489">
            <v>1</v>
          </cell>
          <cell r="Z489">
            <v>1</v>
          </cell>
          <cell r="AA489">
            <v>1</v>
          </cell>
          <cell r="AB489">
            <v>1</v>
          </cell>
          <cell r="AC489">
            <v>1</v>
          </cell>
          <cell r="AD489">
            <v>1</v>
          </cell>
          <cell r="AE489">
            <v>1</v>
          </cell>
          <cell r="AF489">
            <v>1</v>
          </cell>
          <cell r="AG489">
            <v>1</v>
          </cell>
          <cell r="AH489">
            <v>1</v>
          </cell>
          <cell r="AI489">
            <v>1</v>
          </cell>
          <cell r="AJ489">
            <v>1</v>
          </cell>
          <cell r="AK489">
            <v>1</v>
          </cell>
          <cell r="AL489">
            <v>1</v>
          </cell>
          <cell r="AM489">
            <v>1</v>
          </cell>
          <cell r="AN489">
            <v>1</v>
          </cell>
          <cell r="AO489">
            <v>1</v>
          </cell>
          <cell r="AP489"/>
          <cell r="AQ489">
            <v>1</v>
          </cell>
          <cell r="AR489">
            <v>1</v>
          </cell>
          <cell r="AS489">
            <v>1</v>
          </cell>
          <cell r="AT489"/>
          <cell r="AU489">
            <v>1</v>
          </cell>
          <cell r="AV489">
            <v>1</v>
          </cell>
          <cell r="AW489">
            <v>1</v>
          </cell>
          <cell r="AX489">
            <v>1</v>
          </cell>
          <cell r="AY489">
            <v>1</v>
          </cell>
          <cell r="AZ489" t="str">
            <v>B</v>
          </cell>
          <cell r="BA489" t="str">
            <v>세명금속</v>
          </cell>
          <cell r="BB489" t="str">
            <v>H50A16K</v>
          </cell>
          <cell r="BD489" t="str">
            <v>F716</v>
          </cell>
          <cell r="BE489" t="str">
            <v>ALL</v>
          </cell>
          <cell r="BI489">
            <v>671</v>
          </cell>
          <cell r="BJ489">
            <v>995</v>
          </cell>
          <cell r="BK489">
            <v>118</v>
          </cell>
          <cell r="BL489">
            <v>102</v>
          </cell>
          <cell r="BM489"/>
          <cell r="BN489"/>
          <cell r="BO489"/>
          <cell r="BP489"/>
          <cell r="BQ489"/>
          <cell r="BR489"/>
          <cell r="BS489"/>
          <cell r="BT489"/>
          <cell r="BU489"/>
          <cell r="BV489"/>
          <cell r="BW489"/>
          <cell r="BX489"/>
          <cell r="BY489"/>
          <cell r="BZ489"/>
          <cell r="CA489"/>
          <cell r="CB489"/>
          <cell r="CC489"/>
          <cell r="CD489"/>
          <cell r="CE489"/>
          <cell r="CF489"/>
          <cell r="CG489"/>
          <cell r="CH489"/>
          <cell r="CI489"/>
          <cell r="CJ489"/>
          <cell r="CK489"/>
        </row>
        <row r="490">
          <cell r="C490">
            <v>1892</v>
          </cell>
          <cell r="D490" t="str">
            <v>MB591377A</v>
          </cell>
          <cell r="E490" t="str">
            <v xml:space="preserve"> PANEL,CENTER PILLAR INR LH</v>
          </cell>
          <cell r="I490">
            <v>1</v>
          </cell>
          <cell r="J490">
            <v>1</v>
          </cell>
          <cell r="K490">
            <v>1</v>
          </cell>
          <cell r="O490">
            <v>1</v>
          </cell>
          <cell r="Q490">
            <v>1</v>
          </cell>
          <cell r="S490">
            <v>1</v>
          </cell>
          <cell r="T490">
            <v>1</v>
          </cell>
          <cell r="V490">
            <v>1</v>
          </cell>
          <cell r="X490">
            <v>1</v>
          </cell>
          <cell r="Y490">
            <v>1</v>
          </cell>
          <cell r="Z490">
            <v>1</v>
          </cell>
          <cell r="AA490">
            <v>1</v>
          </cell>
          <cell r="AE490">
            <v>1</v>
          </cell>
          <cell r="AG490">
            <v>1</v>
          </cell>
          <cell r="AI490">
            <v>1</v>
          </cell>
          <cell r="AJ490">
            <v>1</v>
          </cell>
          <cell r="AK490">
            <v>1</v>
          </cell>
          <cell r="AQ490">
            <v>1</v>
          </cell>
          <cell r="AR490">
            <v>1</v>
          </cell>
          <cell r="AS490">
            <v>1</v>
          </cell>
          <cell r="AT490">
            <v>1</v>
          </cell>
          <cell r="AU490">
            <v>1</v>
          </cell>
          <cell r="AV490">
            <v>1</v>
          </cell>
          <cell r="AX490">
            <v>1</v>
          </cell>
          <cell r="AY490">
            <v>1</v>
          </cell>
          <cell r="AZ490" t="str">
            <v>B</v>
          </cell>
          <cell r="BA490" t="str">
            <v>세명금속</v>
          </cell>
          <cell r="BB490" t="str">
            <v>H50A17K</v>
          </cell>
          <cell r="BD490" t="str">
            <v>F716</v>
          </cell>
          <cell r="BI490">
            <v>888</v>
          </cell>
          <cell r="BJ490">
            <v>458</v>
          </cell>
          <cell r="BK490">
            <v>90</v>
          </cell>
          <cell r="BL490">
            <v>100</v>
          </cell>
          <cell r="BM490"/>
          <cell r="BN490"/>
          <cell r="BO490"/>
          <cell r="BP490"/>
          <cell r="BQ490"/>
          <cell r="BR490"/>
          <cell r="BS490"/>
          <cell r="BT490"/>
          <cell r="BU490"/>
          <cell r="BV490"/>
          <cell r="BW490"/>
          <cell r="BX490"/>
          <cell r="BY490"/>
          <cell r="BZ490"/>
          <cell r="CA490"/>
          <cell r="CB490"/>
          <cell r="CC490"/>
          <cell r="CD490"/>
          <cell r="CE490"/>
          <cell r="CF490"/>
          <cell r="CG490"/>
          <cell r="CH490"/>
          <cell r="CI490"/>
          <cell r="CJ490"/>
          <cell r="CK490"/>
          <cell r="CL490"/>
          <cell r="CM490"/>
          <cell r="CN490"/>
          <cell r="CO490"/>
          <cell r="CP490"/>
          <cell r="CQ490"/>
        </row>
        <row r="491">
          <cell r="C491">
            <v>1892</v>
          </cell>
          <cell r="D491" t="str">
            <v>MB591378A</v>
          </cell>
          <cell r="E491" t="str">
            <v xml:space="preserve"> PANEL,CENTER PILLAR INR RH</v>
          </cell>
          <cell r="I491">
            <v>1</v>
          </cell>
          <cell r="J491">
            <v>1</v>
          </cell>
          <cell r="K491">
            <v>1</v>
          </cell>
          <cell r="O491">
            <v>1</v>
          </cell>
          <cell r="Q491">
            <v>1</v>
          </cell>
          <cell r="S491">
            <v>1</v>
          </cell>
          <cell r="T491">
            <v>1</v>
          </cell>
          <cell r="V491">
            <v>1</v>
          </cell>
          <cell r="X491">
            <v>1</v>
          </cell>
          <cell r="Y491">
            <v>1</v>
          </cell>
          <cell r="Z491">
            <v>1</v>
          </cell>
          <cell r="AA491">
            <v>1</v>
          </cell>
          <cell r="AE491">
            <v>1</v>
          </cell>
          <cell r="AG491">
            <v>1</v>
          </cell>
          <cell r="AI491">
            <v>1</v>
          </cell>
          <cell r="AJ491">
            <v>1</v>
          </cell>
          <cell r="AK491">
            <v>1</v>
          </cell>
          <cell r="AQ491">
            <v>1</v>
          </cell>
          <cell r="AR491">
            <v>1</v>
          </cell>
          <cell r="AS491">
            <v>1</v>
          </cell>
          <cell r="AT491">
            <v>1</v>
          </cell>
          <cell r="AU491">
            <v>1</v>
          </cell>
          <cell r="AV491">
            <v>1</v>
          </cell>
          <cell r="AX491">
            <v>1</v>
          </cell>
          <cell r="AY491">
            <v>1</v>
          </cell>
          <cell r="AZ491" t="str">
            <v>B</v>
          </cell>
          <cell r="BA491" t="str">
            <v>세명금속</v>
          </cell>
          <cell r="BB491" t="str">
            <v>H50A17K</v>
          </cell>
          <cell r="BD491" t="str">
            <v>F716</v>
          </cell>
          <cell r="BI491">
            <v>888</v>
          </cell>
          <cell r="BJ491">
            <v>458</v>
          </cell>
          <cell r="BK491">
            <v>90</v>
          </cell>
          <cell r="BL491">
            <v>100</v>
          </cell>
          <cell r="BM491"/>
          <cell r="BN491"/>
          <cell r="BO491"/>
          <cell r="BP491"/>
          <cell r="BQ491"/>
          <cell r="BR491"/>
          <cell r="BS491"/>
          <cell r="BT491"/>
          <cell r="BU491"/>
          <cell r="BV491"/>
          <cell r="BW491"/>
          <cell r="BX491"/>
          <cell r="BY491"/>
          <cell r="BZ491"/>
          <cell r="CA491"/>
          <cell r="CB491"/>
          <cell r="CC491"/>
          <cell r="CD491"/>
          <cell r="CE491"/>
          <cell r="CF491"/>
          <cell r="CG491"/>
          <cell r="CH491"/>
          <cell r="CI491"/>
          <cell r="CJ491"/>
          <cell r="CK491"/>
          <cell r="CL491"/>
          <cell r="CM491"/>
          <cell r="CN491"/>
          <cell r="CO491"/>
          <cell r="CP491"/>
          <cell r="CQ491"/>
        </row>
        <row r="492">
          <cell r="C492">
            <v>767</v>
          </cell>
          <cell r="D492" t="str">
            <v>MB591541</v>
          </cell>
          <cell r="E492" t="str">
            <v xml:space="preserve"> BRKT(A)</v>
          </cell>
          <cell r="N492">
            <v>1</v>
          </cell>
          <cell r="O492">
            <v>1</v>
          </cell>
          <cell r="P492">
            <v>1</v>
          </cell>
          <cell r="Q492">
            <v>1</v>
          </cell>
          <cell r="Z492">
            <v>1</v>
          </cell>
          <cell r="AO492">
            <v>1</v>
          </cell>
          <cell r="AS492">
            <v>1</v>
          </cell>
          <cell r="AZ492" t="str">
            <v>B</v>
          </cell>
          <cell r="BA492" t="str">
            <v>세명금속</v>
          </cell>
          <cell r="BB492" t="str">
            <v>H50A18K</v>
          </cell>
          <cell r="BD492" t="str">
            <v>F716</v>
          </cell>
          <cell r="BE492" t="str">
            <v>TCI</v>
          </cell>
          <cell r="BI492">
            <v>422</v>
          </cell>
          <cell r="BJ492">
            <v>0</v>
          </cell>
          <cell r="BK492">
            <v>8</v>
          </cell>
          <cell r="BL492">
            <v>29</v>
          </cell>
          <cell r="BM492"/>
          <cell r="BN492"/>
          <cell r="BO492"/>
          <cell r="BP492"/>
          <cell r="BQ492"/>
          <cell r="BR492"/>
          <cell r="BS492"/>
          <cell r="BT492"/>
          <cell r="BU492"/>
          <cell r="BV492"/>
          <cell r="BW492"/>
          <cell r="BX492"/>
          <cell r="BY492"/>
          <cell r="BZ492"/>
          <cell r="CA492"/>
          <cell r="CB492"/>
          <cell r="CC492"/>
          <cell r="CD492"/>
          <cell r="CE492"/>
          <cell r="CF492"/>
          <cell r="CG492"/>
          <cell r="CH492"/>
          <cell r="CI492"/>
          <cell r="CJ492"/>
          <cell r="CK492"/>
          <cell r="CL492"/>
        </row>
        <row r="493">
          <cell r="C493">
            <v>767</v>
          </cell>
          <cell r="D493" t="str">
            <v>MB591542</v>
          </cell>
          <cell r="E493" t="str">
            <v xml:space="preserve"> BRKT(B)</v>
          </cell>
          <cell r="N493">
            <v>1</v>
          </cell>
          <cell r="O493">
            <v>1</v>
          </cell>
          <cell r="P493">
            <v>1</v>
          </cell>
          <cell r="Q493">
            <v>1</v>
          </cell>
          <cell r="Z493">
            <v>1</v>
          </cell>
          <cell r="AO493">
            <v>1</v>
          </cell>
          <cell r="AS493">
            <v>1</v>
          </cell>
          <cell r="AZ493" t="str">
            <v>B</v>
          </cell>
          <cell r="BA493" t="str">
            <v>세명금속</v>
          </cell>
          <cell r="BB493" t="str">
            <v>H50A18K</v>
          </cell>
          <cell r="BD493" t="str">
            <v>F716</v>
          </cell>
          <cell r="BE493" t="str">
            <v>TCI</v>
          </cell>
          <cell r="BI493">
            <v>422</v>
          </cell>
          <cell r="BJ493">
            <v>0</v>
          </cell>
          <cell r="BK493">
            <v>8</v>
          </cell>
          <cell r="BL493">
            <v>29</v>
          </cell>
          <cell r="BM493"/>
          <cell r="BN493"/>
          <cell r="BO493"/>
          <cell r="BP493"/>
          <cell r="BQ493"/>
          <cell r="BR493"/>
          <cell r="BS493"/>
          <cell r="BT493"/>
          <cell r="BU493"/>
          <cell r="BV493"/>
          <cell r="BW493"/>
          <cell r="BX493"/>
          <cell r="BY493"/>
          <cell r="BZ493"/>
          <cell r="CA493"/>
          <cell r="CB493"/>
          <cell r="CC493"/>
          <cell r="CD493"/>
          <cell r="CE493"/>
          <cell r="CF493"/>
          <cell r="CG493"/>
          <cell r="CH493"/>
          <cell r="CI493"/>
          <cell r="CJ493"/>
          <cell r="CK493"/>
          <cell r="CL493"/>
        </row>
        <row r="494">
          <cell r="C494">
            <v>1892</v>
          </cell>
          <cell r="D494" t="str">
            <v>MB591589A</v>
          </cell>
          <cell r="E494" t="str">
            <v xml:space="preserve"> REINF,R/DR HINGE LH</v>
          </cell>
          <cell r="I494">
            <v>1</v>
          </cell>
          <cell r="J494">
            <v>1</v>
          </cell>
          <cell r="K494">
            <v>1</v>
          </cell>
          <cell r="O494">
            <v>1</v>
          </cell>
          <cell r="Q494">
            <v>1</v>
          </cell>
          <cell r="S494">
            <v>1</v>
          </cell>
          <cell r="T494">
            <v>1</v>
          </cell>
          <cell r="V494">
            <v>1</v>
          </cell>
          <cell r="X494">
            <v>1</v>
          </cell>
          <cell r="Y494">
            <v>1</v>
          </cell>
          <cell r="Z494">
            <v>1</v>
          </cell>
          <cell r="AA494">
            <v>1</v>
          </cell>
          <cell r="AE494">
            <v>1</v>
          </cell>
          <cell r="AG494">
            <v>1</v>
          </cell>
          <cell r="AI494">
            <v>1</v>
          </cell>
          <cell r="AJ494">
            <v>1</v>
          </cell>
          <cell r="AK494">
            <v>1</v>
          </cell>
          <cell r="AQ494">
            <v>1</v>
          </cell>
          <cell r="AR494">
            <v>1</v>
          </cell>
          <cell r="AS494">
            <v>1</v>
          </cell>
          <cell r="AT494">
            <v>1</v>
          </cell>
          <cell r="AU494">
            <v>1</v>
          </cell>
          <cell r="AV494">
            <v>1</v>
          </cell>
          <cell r="AX494">
            <v>1</v>
          </cell>
          <cell r="AY494">
            <v>1</v>
          </cell>
          <cell r="AZ494" t="str">
            <v>B</v>
          </cell>
          <cell r="BA494" t="str">
            <v>세명금속</v>
          </cell>
          <cell r="BB494" t="str">
            <v>H50A17K</v>
          </cell>
          <cell r="BD494" t="str">
            <v>F716</v>
          </cell>
          <cell r="BI494">
            <v>888</v>
          </cell>
          <cell r="BJ494">
            <v>458</v>
          </cell>
          <cell r="BK494">
            <v>90</v>
          </cell>
          <cell r="BL494">
            <v>100</v>
          </cell>
          <cell r="BM494"/>
          <cell r="BN494"/>
          <cell r="BO494"/>
          <cell r="BP494"/>
          <cell r="BQ494"/>
          <cell r="BR494"/>
          <cell r="BS494"/>
          <cell r="BT494"/>
          <cell r="BU494"/>
          <cell r="BV494"/>
          <cell r="BW494"/>
          <cell r="BX494"/>
          <cell r="BY494"/>
          <cell r="BZ494"/>
          <cell r="CA494"/>
          <cell r="CB494"/>
          <cell r="CC494"/>
          <cell r="CD494"/>
          <cell r="CE494"/>
          <cell r="CF494"/>
          <cell r="CG494"/>
          <cell r="CH494"/>
          <cell r="CI494"/>
          <cell r="CJ494"/>
          <cell r="CK494"/>
          <cell r="CL494"/>
          <cell r="CM494"/>
          <cell r="CN494"/>
          <cell r="CO494"/>
          <cell r="CP494"/>
          <cell r="CQ494"/>
        </row>
        <row r="495">
          <cell r="C495">
            <v>1892</v>
          </cell>
          <cell r="D495" t="str">
            <v>MB591590A</v>
          </cell>
          <cell r="E495" t="str">
            <v xml:space="preserve"> REINF,R/DR HINGE RH</v>
          </cell>
          <cell r="I495">
            <v>1</v>
          </cell>
          <cell r="J495">
            <v>1</v>
          </cell>
          <cell r="K495">
            <v>1</v>
          </cell>
          <cell r="O495">
            <v>1</v>
          </cell>
          <cell r="Q495">
            <v>1</v>
          </cell>
          <cell r="S495">
            <v>1</v>
          </cell>
          <cell r="T495">
            <v>1</v>
          </cell>
          <cell r="V495">
            <v>1</v>
          </cell>
          <cell r="X495">
            <v>1</v>
          </cell>
          <cell r="Y495">
            <v>1</v>
          </cell>
          <cell r="Z495">
            <v>1</v>
          </cell>
          <cell r="AA495">
            <v>1</v>
          </cell>
          <cell r="AE495">
            <v>1</v>
          </cell>
          <cell r="AG495">
            <v>1</v>
          </cell>
          <cell r="AI495">
            <v>1</v>
          </cell>
          <cell r="AJ495">
            <v>1</v>
          </cell>
          <cell r="AK495">
            <v>1</v>
          </cell>
          <cell r="AQ495">
            <v>1</v>
          </cell>
          <cell r="AR495">
            <v>1</v>
          </cell>
          <cell r="AS495">
            <v>1</v>
          </cell>
          <cell r="AT495">
            <v>1</v>
          </cell>
          <cell r="AU495">
            <v>1</v>
          </cell>
          <cell r="AV495">
            <v>1</v>
          </cell>
          <cell r="AX495">
            <v>1</v>
          </cell>
          <cell r="AY495">
            <v>1</v>
          </cell>
          <cell r="AZ495" t="str">
            <v>B</v>
          </cell>
          <cell r="BA495" t="str">
            <v>세명금속</v>
          </cell>
          <cell r="BB495" t="str">
            <v>H50A17K</v>
          </cell>
          <cell r="BD495" t="str">
            <v>F716</v>
          </cell>
          <cell r="BI495">
            <v>888</v>
          </cell>
          <cell r="BJ495">
            <v>458</v>
          </cell>
          <cell r="BK495">
            <v>90</v>
          </cell>
          <cell r="BL495">
            <v>100</v>
          </cell>
          <cell r="BM495"/>
          <cell r="BN495"/>
          <cell r="BO495"/>
          <cell r="BP495"/>
          <cell r="BQ495"/>
          <cell r="BR495"/>
          <cell r="BS495"/>
          <cell r="BT495"/>
          <cell r="BU495"/>
          <cell r="BV495"/>
          <cell r="BW495"/>
          <cell r="BX495"/>
          <cell r="BY495"/>
          <cell r="BZ495"/>
          <cell r="CA495"/>
          <cell r="CB495"/>
          <cell r="CC495"/>
          <cell r="CD495"/>
          <cell r="CE495"/>
          <cell r="CF495"/>
          <cell r="CG495"/>
          <cell r="CH495"/>
          <cell r="CI495"/>
          <cell r="CJ495"/>
          <cell r="CK495"/>
          <cell r="CL495"/>
          <cell r="CM495"/>
          <cell r="CN495"/>
          <cell r="CO495"/>
          <cell r="CP495"/>
          <cell r="CQ495"/>
        </row>
        <row r="496">
          <cell r="C496">
            <v>247</v>
          </cell>
          <cell r="D496" t="str">
            <v>HC000183</v>
          </cell>
          <cell r="E496" t="str">
            <v xml:space="preserve"> PNL-RAD SUPT LH</v>
          </cell>
          <cell r="F496" t="str">
            <v>수출용 +972A</v>
          </cell>
          <cell r="AE496">
            <v>1</v>
          </cell>
          <cell r="AH496">
            <v>1</v>
          </cell>
          <cell r="AI496">
            <v>1</v>
          </cell>
          <cell r="AJ496">
            <v>1</v>
          </cell>
          <cell r="AK496">
            <v>1</v>
          </cell>
          <cell r="AL496">
            <v>1</v>
          </cell>
          <cell r="AM496">
            <v>1</v>
          </cell>
          <cell r="AN496">
            <v>1</v>
          </cell>
          <cell r="AO496">
            <v>1</v>
          </cell>
          <cell r="AQ496">
            <v>1</v>
          </cell>
          <cell r="AR496">
            <v>1</v>
          </cell>
          <cell r="AS496">
            <v>1</v>
          </cell>
          <cell r="AU496">
            <v>1</v>
          </cell>
          <cell r="AW496">
            <v>1</v>
          </cell>
          <cell r="AX496">
            <v>1</v>
          </cell>
          <cell r="AY496">
            <v>1</v>
          </cell>
          <cell r="AZ496" t="str">
            <v>B</v>
          </cell>
          <cell r="BA496" t="str">
            <v>세원(주)</v>
          </cell>
          <cell r="BB496" t="str">
            <v>H50A15K01-11,12</v>
          </cell>
          <cell r="BD496" t="str">
            <v>N432</v>
          </cell>
          <cell r="BE496" t="str">
            <v>CHAINA</v>
          </cell>
          <cell r="BI496">
            <v>0</v>
          </cell>
          <cell r="BJ496">
            <v>0</v>
          </cell>
          <cell r="BK496">
            <v>118</v>
          </cell>
          <cell r="BL496">
            <v>102</v>
          </cell>
          <cell r="BM496"/>
          <cell r="BN496"/>
          <cell r="BO496"/>
          <cell r="BP496"/>
          <cell r="BQ496"/>
          <cell r="BR496"/>
          <cell r="BS496"/>
          <cell r="BT496"/>
          <cell r="BU496"/>
          <cell r="BV496"/>
          <cell r="BW496"/>
          <cell r="BX496"/>
          <cell r="BY496"/>
          <cell r="BZ496"/>
          <cell r="CA496"/>
          <cell r="CB496"/>
          <cell r="CC496"/>
          <cell r="CD496"/>
          <cell r="CE496"/>
          <cell r="CF496"/>
          <cell r="CG496"/>
          <cell r="CH496"/>
          <cell r="CI496"/>
          <cell r="CJ496"/>
          <cell r="CK496"/>
          <cell r="CL496"/>
          <cell r="CM496"/>
          <cell r="CN496"/>
          <cell r="CO496"/>
          <cell r="CP496"/>
          <cell r="CQ496"/>
        </row>
        <row r="497">
          <cell r="C497">
            <v>247</v>
          </cell>
          <cell r="D497" t="str">
            <v>HC000184</v>
          </cell>
          <cell r="E497" t="str">
            <v xml:space="preserve"> PNL-RAD SUPT RH</v>
          </cell>
          <cell r="F497" t="str">
            <v>수출용 +972A</v>
          </cell>
          <cell r="AE497">
            <v>1</v>
          </cell>
          <cell r="AH497">
            <v>1</v>
          </cell>
          <cell r="AI497">
            <v>1</v>
          </cell>
          <cell r="AJ497">
            <v>1</v>
          </cell>
          <cell r="AK497">
            <v>1</v>
          </cell>
          <cell r="AL497">
            <v>1</v>
          </cell>
          <cell r="AM497">
            <v>1</v>
          </cell>
          <cell r="AN497">
            <v>1</v>
          </cell>
          <cell r="AO497">
            <v>1</v>
          </cell>
          <cell r="AQ497">
            <v>1</v>
          </cell>
          <cell r="AR497">
            <v>1</v>
          </cell>
          <cell r="AS497">
            <v>1</v>
          </cell>
          <cell r="AU497">
            <v>1</v>
          </cell>
          <cell r="AW497">
            <v>1</v>
          </cell>
          <cell r="AX497">
            <v>1</v>
          </cell>
          <cell r="AY497">
            <v>1</v>
          </cell>
          <cell r="AZ497" t="str">
            <v>B</v>
          </cell>
          <cell r="BA497" t="str">
            <v>세원(주)</v>
          </cell>
          <cell r="BB497" t="str">
            <v>H50A15K01-11,12</v>
          </cell>
          <cell r="BD497" t="str">
            <v>N432</v>
          </cell>
          <cell r="BE497" t="str">
            <v>CHAINA</v>
          </cell>
          <cell r="BI497">
            <v>0</v>
          </cell>
          <cell r="BJ497">
            <v>0</v>
          </cell>
          <cell r="BK497">
            <v>118</v>
          </cell>
          <cell r="BL497">
            <v>102</v>
          </cell>
          <cell r="BM497"/>
          <cell r="BN497"/>
          <cell r="BO497"/>
          <cell r="BP497"/>
          <cell r="BQ497"/>
          <cell r="BR497"/>
          <cell r="BS497"/>
          <cell r="BT497"/>
          <cell r="BU497"/>
          <cell r="BV497"/>
          <cell r="BW497"/>
          <cell r="BX497"/>
          <cell r="BY497"/>
          <cell r="BZ497"/>
          <cell r="CA497"/>
          <cell r="CB497"/>
          <cell r="CC497"/>
          <cell r="CD497"/>
          <cell r="CE497"/>
          <cell r="CF497"/>
          <cell r="CG497"/>
          <cell r="CH497"/>
          <cell r="CI497"/>
          <cell r="CJ497"/>
          <cell r="CK497"/>
          <cell r="CL497"/>
          <cell r="CM497"/>
          <cell r="CN497"/>
          <cell r="CO497"/>
          <cell r="CP497"/>
          <cell r="CQ497"/>
        </row>
        <row r="498">
          <cell r="C498">
            <v>2584</v>
          </cell>
          <cell r="D498" t="str">
            <v>HQ505511</v>
          </cell>
          <cell r="E498" t="str">
            <v xml:space="preserve"> PNL HEAD LAMP SUPT LH</v>
          </cell>
          <cell r="G498">
            <v>1</v>
          </cell>
          <cell r="AZ498" t="str">
            <v>B</v>
          </cell>
          <cell r="BA498" t="str">
            <v>세원(주)</v>
          </cell>
          <cell r="BB498" t="str">
            <v>H50A15K</v>
          </cell>
          <cell r="BC498" t="str">
            <v>MB250251A</v>
          </cell>
          <cell r="BD498" t="str">
            <v>N432</v>
          </cell>
          <cell r="BI498">
            <v>0</v>
          </cell>
          <cell r="BJ498">
            <v>0</v>
          </cell>
          <cell r="BK498">
            <v>0</v>
          </cell>
          <cell r="BL498">
            <v>0</v>
          </cell>
          <cell r="BM498"/>
          <cell r="BN498"/>
          <cell r="BO498"/>
          <cell r="BP498"/>
          <cell r="BQ498"/>
          <cell r="BR498"/>
          <cell r="BS498"/>
          <cell r="BT498"/>
          <cell r="BU498"/>
          <cell r="BV498"/>
          <cell r="BW498"/>
          <cell r="BX498"/>
          <cell r="BY498"/>
          <cell r="BZ498"/>
          <cell r="CA498"/>
          <cell r="CB498"/>
          <cell r="CC498"/>
          <cell r="CD498"/>
          <cell r="CE498"/>
          <cell r="CF498"/>
          <cell r="CG498"/>
          <cell r="CH498"/>
          <cell r="CI498"/>
          <cell r="CJ498"/>
        </row>
        <row r="499">
          <cell r="C499">
            <v>2584</v>
          </cell>
          <cell r="D499" t="str">
            <v>HQ505521</v>
          </cell>
          <cell r="E499" t="str">
            <v xml:space="preserve"> PNL HEAD LAMP SUPT RH</v>
          </cell>
          <cell r="G499">
            <v>1</v>
          </cell>
          <cell r="AZ499" t="str">
            <v>B</v>
          </cell>
          <cell r="BA499" t="str">
            <v>세원(주)</v>
          </cell>
          <cell r="BB499" t="str">
            <v>H50A15K</v>
          </cell>
          <cell r="BC499" t="str">
            <v>MB250252A</v>
          </cell>
          <cell r="BD499" t="str">
            <v>N432</v>
          </cell>
          <cell r="BI499">
            <v>0</v>
          </cell>
          <cell r="BJ499">
            <v>0</v>
          </cell>
          <cell r="BK499">
            <v>0</v>
          </cell>
          <cell r="BL499">
            <v>0</v>
          </cell>
          <cell r="BM499"/>
          <cell r="BN499"/>
          <cell r="BO499"/>
          <cell r="BP499"/>
          <cell r="BQ499"/>
          <cell r="BR499"/>
          <cell r="BS499"/>
          <cell r="BT499"/>
          <cell r="BU499"/>
          <cell r="BV499"/>
          <cell r="BW499"/>
          <cell r="BX499"/>
          <cell r="BY499"/>
          <cell r="BZ499"/>
          <cell r="CA499"/>
          <cell r="CB499"/>
          <cell r="CC499"/>
          <cell r="CD499"/>
          <cell r="CE499"/>
          <cell r="CF499"/>
          <cell r="CG499"/>
          <cell r="CH499"/>
          <cell r="CI499"/>
          <cell r="CJ499"/>
        </row>
        <row r="500">
          <cell r="C500">
            <v>1817</v>
          </cell>
          <cell r="D500" t="str">
            <v>HQ505525</v>
          </cell>
          <cell r="E500" t="str">
            <v xml:space="preserve"> PNL BRIDGE</v>
          </cell>
          <cell r="H500">
            <v>1</v>
          </cell>
          <cell r="I500">
            <v>1</v>
          </cell>
          <cell r="J500">
            <v>1</v>
          </cell>
          <cell r="K500">
            <v>1</v>
          </cell>
          <cell r="L500">
            <v>1</v>
          </cell>
          <cell r="M500">
            <v>1</v>
          </cell>
          <cell r="R500">
            <v>1</v>
          </cell>
          <cell r="S500">
            <v>1</v>
          </cell>
          <cell r="T500">
            <v>1</v>
          </cell>
          <cell r="U500">
            <v>1</v>
          </cell>
          <cell r="V500">
            <v>1</v>
          </cell>
          <cell r="W500">
            <v>1</v>
          </cell>
          <cell r="X500">
            <v>1</v>
          </cell>
          <cell r="Y500">
            <v>1</v>
          </cell>
          <cell r="AA500">
            <v>1</v>
          </cell>
          <cell r="AB500">
            <v>1</v>
          </cell>
          <cell r="AC500">
            <v>1</v>
          </cell>
          <cell r="AD500">
            <v>1</v>
          </cell>
          <cell r="AE500">
            <v>1</v>
          </cell>
          <cell r="AF500">
            <v>1</v>
          </cell>
          <cell r="AG500">
            <v>1</v>
          </cell>
          <cell r="AH500">
            <v>1</v>
          </cell>
          <cell r="AI500">
            <v>1</v>
          </cell>
          <cell r="AJ500">
            <v>1</v>
          </cell>
          <cell r="AK500">
            <v>1</v>
          </cell>
          <cell r="AL500">
            <v>1</v>
          </cell>
          <cell r="AM500">
            <v>1</v>
          </cell>
          <cell r="AN500">
            <v>1</v>
          </cell>
          <cell r="AO500"/>
          <cell r="AP500">
            <v>1</v>
          </cell>
          <cell r="AQ500">
            <v>1</v>
          </cell>
          <cell r="AR500">
            <v>1</v>
          </cell>
          <cell r="AS500"/>
          <cell r="AT500">
            <v>1</v>
          </cell>
          <cell r="AU500">
            <v>1</v>
          </cell>
          <cell r="AV500">
            <v>1</v>
          </cell>
          <cell r="AW500">
            <v>1</v>
          </cell>
          <cell r="AX500">
            <v>1</v>
          </cell>
          <cell r="AY500">
            <v>1</v>
          </cell>
          <cell r="AZ500" t="str">
            <v>B</v>
          </cell>
          <cell r="BA500" t="str">
            <v>세원(주)</v>
          </cell>
          <cell r="BB500" t="str">
            <v>H50A15K</v>
          </cell>
          <cell r="BC500" t="str">
            <v>MB250241B</v>
          </cell>
          <cell r="BD500" t="str">
            <v>N432</v>
          </cell>
          <cell r="BE500"/>
          <cell r="BI500">
            <v>515</v>
          </cell>
          <cell r="BJ500">
            <v>997</v>
          </cell>
          <cell r="BK500">
            <v>110</v>
          </cell>
          <cell r="BL500">
            <v>73</v>
          </cell>
          <cell r="BM500"/>
          <cell r="BN500"/>
          <cell r="BO500"/>
          <cell r="BP500"/>
          <cell r="BQ500"/>
          <cell r="BR500"/>
          <cell r="BS500"/>
          <cell r="BT500"/>
          <cell r="BU500"/>
          <cell r="BV500"/>
          <cell r="BW500"/>
          <cell r="BX500"/>
          <cell r="BY500"/>
          <cell r="BZ500"/>
          <cell r="CA500"/>
          <cell r="CB500"/>
          <cell r="CC500"/>
          <cell r="CD500"/>
          <cell r="CE500"/>
          <cell r="CF500"/>
          <cell r="CG500"/>
          <cell r="CH500"/>
          <cell r="CI500"/>
          <cell r="CJ500"/>
          <cell r="CK500"/>
        </row>
        <row r="501">
          <cell r="C501">
            <v>767</v>
          </cell>
          <cell r="D501" t="str">
            <v>HQ505527</v>
          </cell>
          <cell r="E501" t="str">
            <v xml:space="preserve"> PNL BRIDGE</v>
          </cell>
          <cell r="N501">
            <v>1</v>
          </cell>
          <cell r="O501">
            <v>1</v>
          </cell>
          <cell r="P501">
            <v>1</v>
          </cell>
          <cell r="Q501">
            <v>1</v>
          </cell>
          <cell r="Z501">
            <v>1</v>
          </cell>
          <cell r="AO501">
            <v>1</v>
          </cell>
          <cell r="AS501">
            <v>1</v>
          </cell>
          <cell r="AZ501" t="str">
            <v>B</v>
          </cell>
          <cell r="BA501" t="str">
            <v>세원(주)</v>
          </cell>
          <cell r="BB501" t="str">
            <v>H50A15K</v>
          </cell>
          <cell r="BC501" t="str">
            <v>MB591499A</v>
          </cell>
          <cell r="BD501" t="str">
            <v>N432</v>
          </cell>
          <cell r="BI501">
            <v>422</v>
          </cell>
          <cell r="BJ501">
            <v>0</v>
          </cell>
          <cell r="BK501">
            <v>8</v>
          </cell>
          <cell r="BL501">
            <v>29</v>
          </cell>
          <cell r="BM501"/>
          <cell r="BN501"/>
          <cell r="BO501"/>
          <cell r="BP501"/>
          <cell r="BQ501"/>
          <cell r="BR501"/>
          <cell r="BS501"/>
          <cell r="BT501"/>
          <cell r="BU501"/>
          <cell r="BV501"/>
          <cell r="BW501"/>
          <cell r="BX501"/>
          <cell r="BY501"/>
          <cell r="BZ501"/>
          <cell r="CA501"/>
          <cell r="CB501"/>
          <cell r="CC501"/>
          <cell r="CD501"/>
          <cell r="CE501"/>
          <cell r="CF501"/>
          <cell r="CG501"/>
          <cell r="CH501"/>
          <cell r="CI501"/>
          <cell r="CJ501"/>
          <cell r="CK501"/>
          <cell r="CL501"/>
        </row>
        <row r="502">
          <cell r="C502">
            <v>692</v>
          </cell>
          <cell r="D502" t="str">
            <v>HQ505743</v>
          </cell>
          <cell r="E502" t="str">
            <v xml:space="preserve"> PANEL,RR W/HSE,OTR FR LH</v>
          </cell>
          <cell r="H502">
            <v>1</v>
          </cell>
          <cell r="L502">
            <v>1</v>
          </cell>
          <cell r="M502">
            <v>1</v>
          </cell>
          <cell r="N502">
            <v>1</v>
          </cell>
          <cell r="P502">
            <v>1</v>
          </cell>
          <cell r="R502">
            <v>1</v>
          </cell>
          <cell r="U502">
            <v>1</v>
          </cell>
          <cell r="W502">
            <v>1</v>
          </cell>
          <cell r="AB502">
            <v>1</v>
          </cell>
          <cell r="AC502">
            <v>1</v>
          </cell>
          <cell r="AD502">
            <v>1</v>
          </cell>
          <cell r="AF502">
            <v>1</v>
          </cell>
          <cell r="AG502"/>
          <cell r="AH502">
            <v>1</v>
          </cell>
          <cell r="AI502"/>
          <cell r="AJ502"/>
          <cell r="AK502"/>
          <cell r="AL502">
            <v>1</v>
          </cell>
          <cell r="AM502">
            <v>1</v>
          </cell>
          <cell r="AN502">
            <v>1</v>
          </cell>
          <cell r="AO502">
            <v>1</v>
          </cell>
          <cell r="AP502">
            <v>1</v>
          </cell>
          <cell r="AQ502"/>
          <cell r="AR502"/>
          <cell r="AS502"/>
          <cell r="AT502"/>
          <cell r="AU502"/>
          <cell r="AV502"/>
          <cell r="AW502">
            <v>1</v>
          </cell>
          <cell r="AX502"/>
          <cell r="AY502"/>
          <cell r="AZ502" t="str">
            <v>B</v>
          </cell>
          <cell r="BA502" t="str">
            <v>세원(주)</v>
          </cell>
          <cell r="BB502" t="str">
            <v>H50A17K</v>
          </cell>
          <cell r="BC502" t="str">
            <v>MB591366A</v>
          </cell>
          <cell r="BD502" t="str">
            <v>N432</v>
          </cell>
          <cell r="BE502"/>
          <cell r="BF502"/>
          <cell r="BG502"/>
          <cell r="BH502"/>
          <cell r="BI502">
            <v>49</v>
          </cell>
          <cell r="BJ502">
            <v>539</v>
          </cell>
          <cell r="BK502">
            <v>28</v>
          </cell>
          <cell r="BL502">
            <v>2</v>
          </cell>
          <cell r="BM502"/>
          <cell r="BN502"/>
          <cell r="BO502"/>
          <cell r="BP502"/>
          <cell r="BQ502"/>
          <cell r="BR502"/>
          <cell r="BS502"/>
          <cell r="BT502"/>
          <cell r="BU502"/>
          <cell r="BV502"/>
          <cell r="BW502"/>
          <cell r="BX502"/>
          <cell r="BY502"/>
          <cell r="BZ502"/>
          <cell r="CA502"/>
          <cell r="CB502"/>
          <cell r="CC502"/>
          <cell r="CD502"/>
          <cell r="CE502"/>
          <cell r="CF502"/>
          <cell r="CG502"/>
          <cell r="CH502"/>
          <cell r="CI502"/>
          <cell r="CJ502"/>
          <cell r="CK502"/>
          <cell r="CL502"/>
          <cell r="CM502"/>
          <cell r="CN502"/>
          <cell r="CO502"/>
          <cell r="CP502"/>
        </row>
        <row r="503">
          <cell r="C503">
            <v>662</v>
          </cell>
          <cell r="D503" t="str">
            <v>HQ505744</v>
          </cell>
          <cell r="E503" t="str">
            <v xml:space="preserve"> PANEL,RR W/HSE,OTR FR RH</v>
          </cell>
          <cell r="L503">
            <v>1</v>
          </cell>
          <cell r="M503">
            <v>1</v>
          </cell>
          <cell r="N503">
            <v>1</v>
          </cell>
          <cell r="P503">
            <v>1</v>
          </cell>
          <cell r="R503">
            <v>1</v>
          </cell>
          <cell r="U503">
            <v>1</v>
          </cell>
          <cell r="W503">
            <v>1</v>
          </cell>
          <cell r="AB503">
            <v>1</v>
          </cell>
          <cell r="AD503">
            <v>1</v>
          </cell>
          <cell r="AH503">
            <v>1</v>
          </cell>
          <cell r="AL503">
            <v>1</v>
          </cell>
          <cell r="AM503">
            <v>1</v>
          </cell>
          <cell r="AN503">
            <v>1</v>
          </cell>
          <cell r="AO503">
            <v>1</v>
          </cell>
          <cell r="AP503">
            <v>1</v>
          </cell>
          <cell r="AW503">
            <v>1</v>
          </cell>
          <cell r="AZ503" t="str">
            <v>B</v>
          </cell>
          <cell r="BA503" t="str">
            <v>세원(주)</v>
          </cell>
          <cell r="BB503" t="str">
            <v>H50A17K</v>
          </cell>
          <cell r="BC503" t="str">
            <v>MB591367A</v>
          </cell>
          <cell r="BD503" t="str">
            <v>N432</v>
          </cell>
          <cell r="BI503">
            <v>49</v>
          </cell>
          <cell r="BJ503">
            <v>539</v>
          </cell>
          <cell r="BK503">
            <v>28</v>
          </cell>
          <cell r="BL503">
            <v>2</v>
          </cell>
          <cell r="BM503"/>
          <cell r="BN503"/>
          <cell r="BO503"/>
          <cell r="BP503"/>
          <cell r="BQ503"/>
          <cell r="BR503"/>
          <cell r="BS503"/>
          <cell r="BT503"/>
          <cell r="BU503"/>
          <cell r="BV503"/>
          <cell r="BW503"/>
          <cell r="BX503"/>
          <cell r="BY503"/>
          <cell r="BZ503"/>
          <cell r="CA503"/>
          <cell r="CB503"/>
          <cell r="CC503"/>
          <cell r="CD503"/>
          <cell r="CE503"/>
          <cell r="CF503"/>
          <cell r="CG503"/>
          <cell r="CH503"/>
          <cell r="CI503"/>
          <cell r="CJ503"/>
          <cell r="CK503"/>
          <cell r="CL503"/>
          <cell r="CM503"/>
          <cell r="CN503"/>
          <cell r="CO503"/>
          <cell r="CP503"/>
        </row>
        <row r="504">
          <cell r="C504">
            <v>692</v>
          </cell>
          <cell r="D504" t="str">
            <v>HQ505745</v>
          </cell>
          <cell r="E504" t="str">
            <v xml:space="preserve"> PANEL,RR W/HSE,OTR CTR LH</v>
          </cell>
          <cell r="H504">
            <v>1</v>
          </cell>
          <cell r="L504">
            <v>1</v>
          </cell>
          <cell r="M504">
            <v>1</v>
          </cell>
          <cell r="N504">
            <v>1</v>
          </cell>
          <cell r="P504">
            <v>1</v>
          </cell>
          <cell r="R504">
            <v>1</v>
          </cell>
          <cell r="U504">
            <v>1</v>
          </cell>
          <cell r="W504">
            <v>1</v>
          </cell>
          <cell r="AB504">
            <v>1</v>
          </cell>
          <cell r="AC504">
            <v>1</v>
          </cell>
          <cell r="AD504">
            <v>1</v>
          </cell>
          <cell r="AF504">
            <v>1</v>
          </cell>
          <cell r="AG504"/>
          <cell r="AH504">
            <v>1</v>
          </cell>
          <cell r="AI504"/>
          <cell r="AJ504"/>
          <cell r="AK504"/>
          <cell r="AL504">
            <v>1</v>
          </cell>
          <cell r="AM504">
            <v>1</v>
          </cell>
          <cell r="AN504">
            <v>1</v>
          </cell>
          <cell r="AO504">
            <v>1</v>
          </cell>
          <cell r="AP504">
            <v>1</v>
          </cell>
          <cell r="AQ504"/>
          <cell r="AR504"/>
          <cell r="AS504"/>
          <cell r="AT504"/>
          <cell r="AU504"/>
          <cell r="AV504"/>
          <cell r="AW504">
            <v>1</v>
          </cell>
          <cell r="AX504"/>
          <cell r="AY504"/>
          <cell r="AZ504" t="str">
            <v>B</v>
          </cell>
          <cell r="BA504" t="str">
            <v>세원(주)</v>
          </cell>
          <cell r="BB504" t="str">
            <v>H50A17K</v>
          </cell>
          <cell r="BC504" t="str">
            <v>MB591407A</v>
          </cell>
          <cell r="BD504" t="str">
            <v>N432</v>
          </cell>
          <cell r="BE504"/>
          <cell r="BF504"/>
          <cell r="BG504"/>
          <cell r="BH504"/>
          <cell r="BI504">
            <v>49</v>
          </cell>
          <cell r="BJ504">
            <v>539</v>
          </cell>
          <cell r="BK504">
            <v>28</v>
          </cell>
          <cell r="BL504">
            <v>2</v>
          </cell>
          <cell r="BM504"/>
          <cell r="BN504"/>
          <cell r="BO504"/>
          <cell r="BP504"/>
          <cell r="BQ504"/>
          <cell r="BR504"/>
          <cell r="BS504"/>
          <cell r="BT504"/>
          <cell r="BU504"/>
          <cell r="BV504"/>
          <cell r="BW504"/>
          <cell r="BX504"/>
          <cell r="BY504"/>
          <cell r="BZ504"/>
          <cell r="CA504"/>
          <cell r="CB504"/>
          <cell r="CC504"/>
          <cell r="CD504"/>
          <cell r="CE504"/>
          <cell r="CF504"/>
          <cell r="CG504"/>
          <cell r="CH504"/>
          <cell r="CI504"/>
          <cell r="CJ504"/>
          <cell r="CK504"/>
          <cell r="CL504"/>
          <cell r="CM504"/>
          <cell r="CN504"/>
          <cell r="CO504"/>
          <cell r="CP504"/>
        </row>
        <row r="505">
          <cell r="C505">
            <v>655</v>
          </cell>
          <cell r="D505" t="str">
            <v>HQ505746</v>
          </cell>
          <cell r="E505" t="str">
            <v xml:space="preserve"> PANEL,RR W/HSE,OTR FR RH</v>
          </cell>
          <cell r="H505">
            <v>1</v>
          </cell>
          <cell r="L505">
            <v>1</v>
          </cell>
          <cell r="M505">
            <v>1</v>
          </cell>
          <cell r="N505">
            <v>1</v>
          </cell>
          <cell r="P505">
            <v>1</v>
          </cell>
          <cell r="R505">
            <v>1</v>
          </cell>
          <cell r="U505">
            <v>1</v>
          </cell>
          <cell r="W505">
            <v>1</v>
          </cell>
          <cell r="AB505">
            <v>1</v>
          </cell>
          <cell r="AD505">
            <v>1</v>
          </cell>
          <cell r="AH505">
            <v>1</v>
          </cell>
          <cell r="AL505">
            <v>1</v>
          </cell>
          <cell r="AM505">
            <v>1</v>
          </cell>
          <cell r="AO505">
            <v>1</v>
          </cell>
          <cell r="AP505">
            <v>1</v>
          </cell>
          <cell r="AW505">
            <v>1</v>
          </cell>
          <cell r="AZ505" t="str">
            <v>B</v>
          </cell>
          <cell r="BA505" t="str">
            <v>세원(주)</v>
          </cell>
          <cell r="BB505" t="str">
            <v>H50A17K</v>
          </cell>
          <cell r="BC505" t="str">
            <v>MB591408A</v>
          </cell>
          <cell r="BD505" t="str">
            <v>N432</v>
          </cell>
          <cell r="BI505">
            <v>49</v>
          </cell>
          <cell r="BJ505">
            <v>539</v>
          </cell>
          <cell r="BK505">
            <v>21</v>
          </cell>
          <cell r="BL505">
            <v>2</v>
          </cell>
          <cell r="BM505"/>
          <cell r="BN505"/>
          <cell r="BO505"/>
          <cell r="BP505"/>
          <cell r="BQ505"/>
          <cell r="BR505"/>
          <cell r="BS505"/>
          <cell r="BT505"/>
          <cell r="BU505"/>
          <cell r="BV505"/>
          <cell r="BW505"/>
          <cell r="BX505"/>
          <cell r="BY505"/>
          <cell r="BZ505"/>
          <cell r="CA505"/>
          <cell r="CB505"/>
          <cell r="CC505"/>
          <cell r="CD505"/>
          <cell r="CE505"/>
          <cell r="CF505"/>
          <cell r="CG505"/>
          <cell r="CH505"/>
          <cell r="CI505"/>
          <cell r="CJ505"/>
          <cell r="CK505"/>
          <cell r="CL505"/>
          <cell r="CM505"/>
          <cell r="CN505"/>
          <cell r="CO505"/>
          <cell r="CP505"/>
        </row>
        <row r="506">
          <cell r="C506">
            <v>2411</v>
          </cell>
          <cell r="D506" t="str">
            <v>MB250263B</v>
          </cell>
          <cell r="E506" t="str">
            <v xml:space="preserve"> PANEL,RAD SUPT LH</v>
          </cell>
          <cell r="H506">
            <v>1</v>
          </cell>
          <cell r="I506">
            <v>1</v>
          </cell>
          <cell r="J506">
            <v>1</v>
          </cell>
          <cell r="K506">
            <v>1</v>
          </cell>
          <cell r="L506">
            <v>1</v>
          </cell>
          <cell r="M506">
            <v>1</v>
          </cell>
          <cell r="N506">
            <v>1</v>
          </cell>
          <cell r="O506">
            <v>1</v>
          </cell>
          <cell r="P506">
            <v>1</v>
          </cell>
          <cell r="Q506">
            <v>1</v>
          </cell>
          <cell r="R506">
            <v>1</v>
          </cell>
          <cell r="S506">
            <v>1</v>
          </cell>
          <cell r="T506">
            <v>1</v>
          </cell>
          <cell r="U506">
            <v>1</v>
          </cell>
          <cell r="V506">
            <v>1</v>
          </cell>
          <cell r="W506">
            <v>1</v>
          </cell>
          <cell r="X506">
            <v>1</v>
          </cell>
          <cell r="Y506">
            <v>1</v>
          </cell>
          <cell r="Z506">
            <v>1</v>
          </cell>
          <cell r="AA506">
            <v>1</v>
          </cell>
          <cell r="AB506">
            <v>1</v>
          </cell>
          <cell r="AC506">
            <v>1</v>
          </cell>
          <cell r="AD506">
            <v>1</v>
          </cell>
          <cell r="AF506">
            <v>1</v>
          </cell>
          <cell r="AG506">
            <v>1</v>
          </cell>
          <cell r="AH506">
            <v>1</v>
          </cell>
          <cell r="AI506"/>
          <cell r="AJ506"/>
          <cell r="AK506"/>
          <cell r="AL506">
            <v>1</v>
          </cell>
          <cell r="AM506">
            <v>1</v>
          </cell>
          <cell r="AN506">
            <v>1</v>
          </cell>
          <cell r="AO506">
            <v>1</v>
          </cell>
          <cell r="AP506">
            <v>1</v>
          </cell>
          <cell r="AQ506"/>
          <cell r="AR506"/>
          <cell r="AS506"/>
          <cell r="AT506"/>
          <cell r="AU506">
            <v>1</v>
          </cell>
          <cell r="AV506">
            <v>1</v>
          </cell>
          <cell r="AW506">
            <v>1</v>
          </cell>
          <cell r="AX506"/>
          <cell r="AY506">
            <v>1</v>
          </cell>
          <cell r="AZ506" t="str">
            <v>B</v>
          </cell>
          <cell r="BA506" t="str">
            <v>세원(주)</v>
          </cell>
          <cell r="BB506" t="str">
            <v>H50A15K</v>
          </cell>
          <cell r="BC506" t="str">
            <v>MB250263A</v>
          </cell>
          <cell r="BD506" t="str">
            <v>N432</v>
          </cell>
          <cell r="BE506" t="str">
            <v>ALL</v>
          </cell>
          <cell r="BF506"/>
          <cell r="BG506"/>
          <cell r="BH506"/>
          <cell r="BI506">
            <v>937</v>
          </cell>
          <cell r="BJ506">
            <v>997</v>
          </cell>
          <cell r="BK506">
            <v>28</v>
          </cell>
          <cell r="BL506">
            <v>37</v>
          </cell>
          <cell r="BM506"/>
          <cell r="BN506"/>
          <cell r="BO506"/>
          <cell r="BP506"/>
          <cell r="BQ506"/>
          <cell r="BR506"/>
          <cell r="BS506"/>
          <cell r="BT506"/>
          <cell r="BU506"/>
          <cell r="BV506"/>
          <cell r="BW506"/>
          <cell r="BX506"/>
          <cell r="BY506"/>
          <cell r="BZ506"/>
          <cell r="CA506"/>
          <cell r="CB506"/>
          <cell r="CC506"/>
          <cell r="CD506"/>
          <cell r="CE506"/>
          <cell r="CF506"/>
          <cell r="CG506"/>
          <cell r="CH506"/>
          <cell r="CI506"/>
          <cell r="CJ506"/>
          <cell r="CK506"/>
          <cell r="CL506"/>
          <cell r="CM506"/>
          <cell r="CN506"/>
          <cell r="CO506"/>
          <cell r="CP506"/>
        </row>
        <row r="507">
          <cell r="C507">
            <v>2411</v>
          </cell>
          <cell r="D507" t="str">
            <v>MB250264B</v>
          </cell>
          <cell r="E507" t="str">
            <v xml:space="preserve"> PANEL,RAD SUPT RH</v>
          </cell>
          <cell r="H507">
            <v>1</v>
          </cell>
          <cell r="I507">
            <v>1</v>
          </cell>
          <cell r="J507">
            <v>1</v>
          </cell>
          <cell r="K507">
            <v>1</v>
          </cell>
          <cell r="L507">
            <v>1</v>
          </cell>
          <cell r="M507">
            <v>1</v>
          </cell>
          <cell r="N507">
            <v>1</v>
          </cell>
          <cell r="O507">
            <v>1</v>
          </cell>
          <cell r="P507">
            <v>1</v>
          </cell>
          <cell r="Q507">
            <v>1</v>
          </cell>
          <cell r="R507">
            <v>1</v>
          </cell>
          <cell r="S507">
            <v>1</v>
          </cell>
          <cell r="T507">
            <v>1</v>
          </cell>
          <cell r="U507">
            <v>1</v>
          </cell>
          <cell r="V507">
            <v>1</v>
          </cell>
          <cell r="W507">
            <v>1</v>
          </cell>
          <cell r="X507">
            <v>1</v>
          </cell>
          <cell r="Y507">
            <v>1</v>
          </cell>
          <cell r="Z507">
            <v>1</v>
          </cell>
          <cell r="AA507">
            <v>1</v>
          </cell>
          <cell r="AB507">
            <v>1</v>
          </cell>
          <cell r="AC507">
            <v>1</v>
          </cell>
          <cell r="AD507">
            <v>1</v>
          </cell>
          <cell r="AF507">
            <v>1</v>
          </cell>
          <cell r="AG507">
            <v>1</v>
          </cell>
          <cell r="AH507">
            <v>1</v>
          </cell>
          <cell r="AI507"/>
          <cell r="AJ507"/>
          <cell r="AK507"/>
          <cell r="AL507">
            <v>1</v>
          </cell>
          <cell r="AM507">
            <v>1</v>
          </cell>
          <cell r="AN507">
            <v>1</v>
          </cell>
          <cell r="AO507">
            <v>1</v>
          </cell>
          <cell r="AP507">
            <v>1</v>
          </cell>
          <cell r="AQ507"/>
          <cell r="AR507"/>
          <cell r="AS507"/>
          <cell r="AT507"/>
          <cell r="AU507">
            <v>1</v>
          </cell>
          <cell r="AV507">
            <v>1</v>
          </cell>
          <cell r="AW507">
            <v>1</v>
          </cell>
          <cell r="AX507"/>
          <cell r="AY507">
            <v>1</v>
          </cell>
          <cell r="AZ507" t="str">
            <v>B</v>
          </cell>
          <cell r="BA507" t="str">
            <v>세원(주)</v>
          </cell>
          <cell r="BB507" t="str">
            <v>H50A15K</v>
          </cell>
          <cell r="BC507" t="str">
            <v>MB250264A</v>
          </cell>
          <cell r="BD507" t="str">
            <v>N432</v>
          </cell>
          <cell r="BE507" t="str">
            <v>ALL</v>
          </cell>
          <cell r="BF507"/>
          <cell r="BG507"/>
          <cell r="BH507"/>
          <cell r="BI507">
            <v>937</v>
          </cell>
          <cell r="BJ507">
            <v>997</v>
          </cell>
          <cell r="BK507">
            <v>28</v>
          </cell>
          <cell r="BL507">
            <v>37</v>
          </cell>
          <cell r="BM507"/>
          <cell r="BN507"/>
          <cell r="BO507"/>
          <cell r="BP507"/>
          <cell r="BQ507"/>
          <cell r="BR507"/>
          <cell r="BS507"/>
          <cell r="BT507"/>
          <cell r="BU507"/>
          <cell r="BV507"/>
          <cell r="BW507"/>
          <cell r="BX507"/>
          <cell r="BY507"/>
          <cell r="BZ507"/>
          <cell r="CA507"/>
          <cell r="CB507"/>
          <cell r="CC507"/>
          <cell r="CD507"/>
          <cell r="CE507"/>
          <cell r="CF507"/>
          <cell r="CG507"/>
          <cell r="CH507"/>
          <cell r="CI507"/>
          <cell r="CJ507"/>
          <cell r="CK507"/>
          <cell r="CL507"/>
          <cell r="CM507"/>
          <cell r="CN507"/>
          <cell r="CO507"/>
          <cell r="CP507"/>
        </row>
        <row r="508">
          <cell r="C508">
            <v>2584</v>
          </cell>
          <cell r="D508" t="str">
            <v>MB250286B</v>
          </cell>
          <cell r="E508" t="str">
            <v xml:space="preserve"> PANEL,SUPT</v>
          </cell>
          <cell r="F508" t="str">
            <v>-972B(-D/C)</v>
          </cell>
          <cell r="G508">
            <v>1</v>
          </cell>
          <cell r="AZ508" t="str">
            <v>B</v>
          </cell>
          <cell r="BA508" t="str">
            <v>세원(주)</v>
          </cell>
          <cell r="BB508" t="str">
            <v>H50A15K</v>
          </cell>
          <cell r="BC508" t="str">
            <v>MB591767A</v>
          </cell>
          <cell r="BD508" t="str">
            <v>N432</v>
          </cell>
          <cell r="BE508" t="str">
            <v>ALL</v>
          </cell>
          <cell r="BI508">
            <v>0</v>
          </cell>
          <cell r="BJ508">
            <v>0</v>
          </cell>
          <cell r="BK508">
            <v>0</v>
          </cell>
          <cell r="BL508">
            <v>0</v>
          </cell>
          <cell r="BM508"/>
          <cell r="BN508"/>
          <cell r="BO508"/>
          <cell r="BP508"/>
          <cell r="BQ508"/>
          <cell r="BR508"/>
          <cell r="BS508"/>
          <cell r="BT508"/>
          <cell r="BU508"/>
          <cell r="BV508"/>
          <cell r="BW508"/>
          <cell r="BX508"/>
          <cell r="BY508"/>
          <cell r="BZ508"/>
          <cell r="CA508"/>
          <cell r="CB508"/>
          <cell r="CC508"/>
          <cell r="CD508"/>
          <cell r="CE508"/>
          <cell r="CF508"/>
          <cell r="CG508"/>
          <cell r="CH508"/>
          <cell r="CI508"/>
          <cell r="CJ508"/>
          <cell r="CK508"/>
        </row>
        <row r="509">
          <cell r="C509">
            <v>692</v>
          </cell>
          <cell r="D509" t="str">
            <v>MB250477</v>
          </cell>
          <cell r="E509" t="str">
            <v xml:space="preserve"> PANEL,TOOL BOX,SIDE</v>
          </cell>
          <cell r="H509">
            <v>1</v>
          </cell>
          <cell r="L509">
            <v>1</v>
          </cell>
          <cell r="M509">
            <v>1</v>
          </cell>
          <cell r="N509">
            <v>1</v>
          </cell>
          <cell r="P509">
            <v>1</v>
          </cell>
          <cell r="R509">
            <v>1</v>
          </cell>
          <cell r="U509">
            <v>1</v>
          </cell>
          <cell r="W509">
            <v>1</v>
          </cell>
          <cell r="AB509">
            <v>1</v>
          </cell>
          <cell r="AC509">
            <v>1</v>
          </cell>
          <cell r="AD509">
            <v>1</v>
          </cell>
          <cell r="AF509">
            <v>1</v>
          </cell>
          <cell r="AG509"/>
          <cell r="AH509">
            <v>1</v>
          </cell>
          <cell r="AI509"/>
          <cell r="AJ509"/>
          <cell r="AK509"/>
          <cell r="AL509">
            <v>1</v>
          </cell>
          <cell r="AM509">
            <v>1</v>
          </cell>
          <cell r="AN509">
            <v>1</v>
          </cell>
          <cell r="AO509">
            <v>1</v>
          </cell>
          <cell r="AP509">
            <v>1</v>
          </cell>
          <cell r="AQ509"/>
          <cell r="AR509"/>
          <cell r="AS509"/>
          <cell r="AT509"/>
          <cell r="AU509"/>
          <cell r="AV509"/>
          <cell r="AW509">
            <v>1</v>
          </cell>
          <cell r="AX509"/>
          <cell r="AY509"/>
          <cell r="AZ509" t="str">
            <v>B</v>
          </cell>
          <cell r="BA509" t="str">
            <v>세원(주)</v>
          </cell>
          <cell r="BB509" t="str">
            <v>H50A17K</v>
          </cell>
          <cell r="BC509"/>
          <cell r="BD509" t="str">
            <v>N432</v>
          </cell>
          <cell r="BE509" t="str">
            <v>S/B</v>
          </cell>
          <cell r="BF509"/>
          <cell r="BG509"/>
          <cell r="BH509"/>
          <cell r="BI509">
            <v>49</v>
          </cell>
          <cell r="BJ509">
            <v>539</v>
          </cell>
          <cell r="BK509">
            <v>28</v>
          </cell>
          <cell r="BL509">
            <v>2</v>
          </cell>
          <cell r="BM509"/>
          <cell r="BN509"/>
          <cell r="BO509"/>
          <cell r="BP509"/>
          <cell r="BQ509"/>
          <cell r="BR509"/>
          <cell r="BS509"/>
          <cell r="BT509"/>
          <cell r="BU509"/>
          <cell r="BV509"/>
          <cell r="BW509"/>
          <cell r="BX509"/>
          <cell r="BY509"/>
          <cell r="BZ509"/>
          <cell r="CA509"/>
          <cell r="CB509"/>
          <cell r="CC509"/>
          <cell r="CD509"/>
          <cell r="CE509"/>
          <cell r="CF509"/>
          <cell r="CG509"/>
          <cell r="CH509"/>
          <cell r="CI509"/>
          <cell r="CJ509"/>
          <cell r="CK509"/>
          <cell r="CL509"/>
          <cell r="CM509"/>
          <cell r="CN509"/>
          <cell r="CO509"/>
          <cell r="CP509"/>
        </row>
        <row r="510">
          <cell r="C510">
            <v>692</v>
          </cell>
          <cell r="D510" t="str">
            <v>MB250478</v>
          </cell>
          <cell r="E510" t="str">
            <v xml:space="preserve"> PANEL,TOOL BOX,BOTTOM</v>
          </cell>
          <cell r="H510">
            <v>1</v>
          </cell>
          <cell r="L510">
            <v>1</v>
          </cell>
          <cell r="M510">
            <v>1</v>
          </cell>
          <cell r="N510">
            <v>1</v>
          </cell>
          <cell r="P510">
            <v>1</v>
          </cell>
          <cell r="R510">
            <v>1</v>
          </cell>
          <cell r="U510">
            <v>1</v>
          </cell>
          <cell r="W510">
            <v>1</v>
          </cell>
          <cell r="AB510">
            <v>1</v>
          </cell>
          <cell r="AC510">
            <v>1</v>
          </cell>
          <cell r="AD510">
            <v>1</v>
          </cell>
          <cell r="AF510">
            <v>1</v>
          </cell>
          <cell r="AG510"/>
          <cell r="AH510">
            <v>1</v>
          </cell>
          <cell r="AI510"/>
          <cell r="AJ510"/>
          <cell r="AK510"/>
          <cell r="AL510">
            <v>1</v>
          </cell>
          <cell r="AM510">
            <v>1</v>
          </cell>
          <cell r="AN510">
            <v>1</v>
          </cell>
          <cell r="AO510">
            <v>1</v>
          </cell>
          <cell r="AP510">
            <v>1</v>
          </cell>
          <cell r="AQ510"/>
          <cell r="AR510"/>
          <cell r="AS510"/>
          <cell r="AT510"/>
          <cell r="AU510"/>
          <cell r="AV510"/>
          <cell r="AW510">
            <v>1</v>
          </cell>
          <cell r="AX510"/>
          <cell r="AY510"/>
          <cell r="AZ510" t="str">
            <v>B</v>
          </cell>
          <cell r="BA510" t="str">
            <v>세원(주)</v>
          </cell>
          <cell r="BB510" t="str">
            <v>H50A17K</v>
          </cell>
          <cell r="BC510"/>
          <cell r="BD510" t="str">
            <v>N432</v>
          </cell>
          <cell r="BE510" t="str">
            <v>S/B</v>
          </cell>
          <cell r="BF510"/>
          <cell r="BG510"/>
          <cell r="BH510"/>
          <cell r="BI510">
            <v>49</v>
          </cell>
          <cell r="BJ510">
            <v>539</v>
          </cell>
          <cell r="BK510">
            <v>28</v>
          </cell>
          <cell r="BL510">
            <v>2</v>
          </cell>
          <cell r="BM510"/>
          <cell r="BN510"/>
          <cell r="BO510"/>
          <cell r="BP510"/>
          <cell r="BQ510"/>
          <cell r="BR510"/>
          <cell r="BS510"/>
          <cell r="BT510"/>
          <cell r="BU510"/>
          <cell r="BV510"/>
          <cell r="BW510"/>
          <cell r="BX510"/>
          <cell r="BY510"/>
          <cell r="BZ510"/>
          <cell r="CA510"/>
          <cell r="CB510"/>
          <cell r="CC510"/>
          <cell r="CD510"/>
          <cell r="CE510"/>
          <cell r="CF510"/>
          <cell r="CG510"/>
          <cell r="CH510"/>
          <cell r="CI510"/>
          <cell r="CJ510"/>
          <cell r="CK510"/>
          <cell r="CL510"/>
          <cell r="CM510"/>
          <cell r="CN510"/>
          <cell r="CO510"/>
          <cell r="CP510"/>
        </row>
        <row r="511">
          <cell r="C511">
            <v>153</v>
          </cell>
          <cell r="D511" t="str">
            <v>MB250913</v>
          </cell>
          <cell r="E511" t="str">
            <v xml:space="preserve"> REINF,R/SEAT BELT,UPR LH</v>
          </cell>
          <cell r="H511">
            <v>1</v>
          </cell>
          <cell r="L511">
            <v>1</v>
          </cell>
          <cell r="M511">
            <v>1</v>
          </cell>
          <cell r="N511">
            <v>1</v>
          </cell>
          <cell r="P511">
            <v>1</v>
          </cell>
          <cell r="U511">
            <v>1</v>
          </cell>
          <cell r="W511">
            <v>1</v>
          </cell>
          <cell r="AB511">
            <v>1</v>
          </cell>
          <cell r="AC511">
            <v>1</v>
          </cell>
          <cell r="AD511">
            <v>1</v>
          </cell>
          <cell r="AF511">
            <v>1</v>
          </cell>
          <cell r="AG511"/>
          <cell r="AH511">
            <v>1</v>
          </cell>
          <cell r="AI511"/>
          <cell r="AJ511"/>
          <cell r="AK511"/>
          <cell r="AL511">
            <v>1</v>
          </cell>
          <cell r="AM511">
            <v>1</v>
          </cell>
          <cell r="AN511">
            <v>1</v>
          </cell>
          <cell r="AO511">
            <v>1</v>
          </cell>
          <cell r="AP511">
            <v>1</v>
          </cell>
          <cell r="AQ511"/>
          <cell r="AR511"/>
          <cell r="AS511"/>
          <cell r="AT511"/>
          <cell r="AU511"/>
          <cell r="AV511"/>
          <cell r="AW511">
            <v>1</v>
          </cell>
          <cell r="AX511"/>
          <cell r="AY511"/>
          <cell r="AZ511" t="str">
            <v>B</v>
          </cell>
          <cell r="BA511" t="str">
            <v>세원(주)</v>
          </cell>
          <cell r="BB511" t="str">
            <v>H50A17K</v>
          </cell>
          <cell r="BC511"/>
          <cell r="BD511" t="str">
            <v>N432</v>
          </cell>
          <cell r="BE511" t="str">
            <v>S/B</v>
          </cell>
          <cell r="BF511"/>
          <cell r="BG511"/>
          <cell r="BH511"/>
          <cell r="BI511">
            <v>49</v>
          </cell>
          <cell r="BJ511">
            <v>0</v>
          </cell>
          <cell r="BK511">
            <v>28</v>
          </cell>
          <cell r="BL511">
            <v>2</v>
          </cell>
          <cell r="BM511"/>
          <cell r="BN511"/>
          <cell r="BO511"/>
          <cell r="BP511"/>
          <cell r="BQ511"/>
          <cell r="BR511"/>
          <cell r="BS511"/>
          <cell r="BT511"/>
          <cell r="BU511"/>
          <cell r="BV511"/>
          <cell r="BW511"/>
          <cell r="BX511"/>
          <cell r="BY511"/>
          <cell r="BZ511"/>
          <cell r="CA511"/>
          <cell r="CB511"/>
          <cell r="CC511"/>
          <cell r="CD511"/>
          <cell r="CE511"/>
          <cell r="CF511"/>
          <cell r="CG511"/>
          <cell r="CH511"/>
          <cell r="CI511"/>
          <cell r="CJ511"/>
          <cell r="CK511"/>
          <cell r="CL511"/>
          <cell r="CM511"/>
          <cell r="CN511"/>
          <cell r="CO511"/>
          <cell r="CP511"/>
        </row>
        <row r="512">
          <cell r="C512">
            <v>153</v>
          </cell>
          <cell r="D512" t="str">
            <v>MB250914</v>
          </cell>
          <cell r="E512" t="str">
            <v xml:space="preserve"> REINF,R/SEAT BELT,UPR RH</v>
          </cell>
          <cell r="H512">
            <v>1</v>
          </cell>
          <cell r="L512">
            <v>1</v>
          </cell>
          <cell r="M512">
            <v>1</v>
          </cell>
          <cell r="N512">
            <v>1</v>
          </cell>
          <cell r="P512">
            <v>1</v>
          </cell>
          <cell r="U512">
            <v>1</v>
          </cell>
          <cell r="W512">
            <v>1</v>
          </cell>
          <cell r="AB512">
            <v>1</v>
          </cell>
          <cell r="AC512">
            <v>1</v>
          </cell>
          <cell r="AD512">
            <v>1</v>
          </cell>
          <cell r="AF512">
            <v>1</v>
          </cell>
          <cell r="AG512"/>
          <cell r="AH512">
            <v>1</v>
          </cell>
          <cell r="AI512"/>
          <cell r="AJ512"/>
          <cell r="AK512"/>
          <cell r="AL512">
            <v>1</v>
          </cell>
          <cell r="AM512">
            <v>1</v>
          </cell>
          <cell r="AN512">
            <v>1</v>
          </cell>
          <cell r="AO512">
            <v>1</v>
          </cell>
          <cell r="AP512">
            <v>1</v>
          </cell>
          <cell r="AQ512"/>
          <cell r="AR512"/>
          <cell r="AS512"/>
          <cell r="AT512"/>
          <cell r="AU512"/>
          <cell r="AV512"/>
          <cell r="AW512">
            <v>1</v>
          </cell>
          <cell r="AX512"/>
          <cell r="AY512"/>
          <cell r="AZ512" t="str">
            <v>B</v>
          </cell>
          <cell r="BA512" t="str">
            <v>세원(주)</v>
          </cell>
          <cell r="BB512" t="str">
            <v>H50A17K</v>
          </cell>
          <cell r="BC512"/>
          <cell r="BD512" t="str">
            <v>N432</v>
          </cell>
          <cell r="BE512" t="str">
            <v>S/B</v>
          </cell>
          <cell r="BF512"/>
          <cell r="BG512"/>
          <cell r="BH512"/>
          <cell r="BI512">
            <v>49</v>
          </cell>
          <cell r="BJ512">
            <v>0</v>
          </cell>
          <cell r="BK512">
            <v>28</v>
          </cell>
          <cell r="BL512">
            <v>2</v>
          </cell>
          <cell r="BM512"/>
          <cell r="BN512"/>
          <cell r="BO512"/>
          <cell r="BP512"/>
          <cell r="BQ512"/>
          <cell r="BR512"/>
          <cell r="BS512"/>
          <cell r="BT512"/>
          <cell r="BU512"/>
          <cell r="BV512"/>
          <cell r="BW512"/>
          <cell r="BX512"/>
          <cell r="BY512"/>
          <cell r="BZ512"/>
          <cell r="CA512"/>
          <cell r="CB512"/>
          <cell r="CC512"/>
          <cell r="CD512"/>
          <cell r="CE512"/>
          <cell r="CF512"/>
          <cell r="CG512"/>
          <cell r="CH512"/>
          <cell r="CI512"/>
          <cell r="CJ512"/>
          <cell r="CK512"/>
          <cell r="CL512"/>
          <cell r="CM512"/>
          <cell r="CN512"/>
          <cell r="CO512"/>
          <cell r="CP512"/>
        </row>
        <row r="513">
          <cell r="C513">
            <v>2584</v>
          </cell>
          <cell r="D513" t="str">
            <v>MB274289A</v>
          </cell>
          <cell r="E513" t="str">
            <v xml:space="preserve"> C/MBR,FRONT</v>
          </cell>
          <cell r="G513">
            <v>1</v>
          </cell>
          <cell r="AZ513" t="str">
            <v>B</v>
          </cell>
          <cell r="BA513" t="str">
            <v>세원(주)</v>
          </cell>
          <cell r="BB513" t="str">
            <v>H50A15K</v>
          </cell>
          <cell r="BD513" t="str">
            <v>N432</v>
          </cell>
          <cell r="BE513" t="str">
            <v>ALL</v>
          </cell>
          <cell r="BI513">
            <v>0</v>
          </cell>
          <cell r="BJ513">
            <v>0</v>
          </cell>
          <cell r="BK513">
            <v>0</v>
          </cell>
          <cell r="BL513">
            <v>0</v>
          </cell>
          <cell r="BM513"/>
          <cell r="BN513"/>
          <cell r="BO513"/>
          <cell r="BP513"/>
          <cell r="BQ513"/>
          <cell r="BR513"/>
          <cell r="BS513"/>
          <cell r="BT513"/>
          <cell r="BU513"/>
          <cell r="BV513"/>
          <cell r="BW513"/>
          <cell r="BX513"/>
          <cell r="BY513"/>
          <cell r="BZ513"/>
          <cell r="CA513"/>
          <cell r="CB513"/>
          <cell r="CC513"/>
          <cell r="CD513"/>
          <cell r="CE513"/>
          <cell r="CF513"/>
          <cell r="CG513"/>
          <cell r="CH513"/>
          <cell r="CI513"/>
          <cell r="CJ513"/>
          <cell r="CK513"/>
        </row>
        <row r="514">
          <cell r="C514">
            <v>1322</v>
          </cell>
          <cell r="D514" t="str">
            <v>MB591767B</v>
          </cell>
          <cell r="E514" t="str">
            <v xml:space="preserve"> PANEL,SUPT</v>
          </cell>
          <cell r="F514" t="str">
            <v>972B</v>
          </cell>
          <cell r="J514">
            <v>1</v>
          </cell>
          <cell r="K514">
            <v>1</v>
          </cell>
          <cell r="O514">
            <v>1</v>
          </cell>
          <cell r="Q514">
            <v>1</v>
          </cell>
          <cell r="X514">
            <v>1</v>
          </cell>
          <cell r="Z514">
            <v>1</v>
          </cell>
          <cell r="AE514">
            <v>1</v>
          </cell>
          <cell r="AI514">
            <v>1</v>
          </cell>
          <cell r="AK514">
            <v>1</v>
          </cell>
          <cell r="AQ514">
            <v>1</v>
          </cell>
          <cell r="AR514">
            <v>1</v>
          </cell>
          <cell r="AS514">
            <v>1</v>
          </cell>
          <cell r="AT514">
            <v>1</v>
          </cell>
          <cell r="AZ514" t="str">
            <v>B</v>
          </cell>
          <cell r="BA514" t="str">
            <v>세원(주)</v>
          </cell>
          <cell r="BB514" t="str">
            <v>H50A15K</v>
          </cell>
          <cell r="BD514" t="str">
            <v>N432</v>
          </cell>
          <cell r="BI514">
            <v>868</v>
          </cell>
          <cell r="BJ514">
            <v>2</v>
          </cell>
          <cell r="BK514">
            <v>54</v>
          </cell>
          <cell r="BL514">
            <v>65</v>
          </cell>
          <cell r="BM514"/>
          <cell r="BN514"/>
          <cell r="BO514"/>
          <cell r="BP514"/>
          <cell r="BQ514"/>
          <cell r="BR514"/>
          <cell r="BS514"/>
          <cell r="BT514"/>
          <cell r="BU514"/>
          <cell r="BV514"/>
          <cell r="BW514"/>
          <cell r="BX514"/>
          <cell r="BY514"/>
          <cell r="BZ514"/>
          <cell r="CA514"/>
          <cell r="CB514"/>
          <cell r="CC514"/>
          <cell r="CD514"/>
          <cell r="CE514"/>
          <cell r="CF514"/>
          <cell r="CG514"/>
          <cell r="CH514"/>
          <cell r="CI514"/>
          <cell r="CJ514"/>
          <cell r="CK514"/>
          <cell r="CL514"/>
          <cell r="CM514"/>
          <cell r="CN514"/>
          <cell r="CO514"/>
          <cell r="CP514"/>
          <cell r="CQ514"/>
        </row>
        <row r="515">
          <cell r="C515">
            <v>0</v>
          </cell>
          <cell r="D515" t="str">
            <v>MB250251A</v>
          </cell>
          <cell r="E515" t="str">
            <v xml:space="preserve"> PNL-HEAD LAMP SUPT,LH</v>
          </cell>
          <cell r="AZ515" t="str">
            <v>B</v>
          </cell>
          <cell r="BA515" t="str">
            <v>세원정공</v>
          </cell>
        </row>
        <row r="516">
          <cell r="C516">
            <v>0</v>
          </cell>
          <cell r="D516" t="str">
            <v>MB250252A</v>
          </cell>
          <cell r="E516" t="str">
            <v xml:space="preserve"> PNL-HEAD LAMP SUPT,RH</v>
          </cell>
          <cell r="AZ516" t="str">
            <v>B</v>
          </cell>
          <cell r="BA516" t="str">
            <v>세원정공</v>
          </cell>
        </row>
        <row r="517">
          <cell r="C517">
            <v>692</v>
          </cell>
          <cell r="D517" t="str">
            <v>HC000165</v>
          </cell>
          <cell r="E517" t="str">
            <v xml:space="preserve"> PILLAR,CTR,INR,LWR ASSY LH</v>
          </cell>
          <cell r="H517">
            <v>1</v>
          </cell>
          <cell r="L517">
            <v>1</v>
          </cell>
          <cell r="M517">
            <v>1</v>
          </cell>
          <cell r="N517">
            <v>1</v>
          </cell>
          <cell r="P517">
            <v>1</v>
          </cell>
          <cell r="R517">
            <v>1</v>
          </cell>
          <cell r="U517">
            <v>1</v>
          </cell>
          <cell r="W517">
            <v>1</v>
          </cell>
          <cell r="AB517">
            <v>1</v>
          </cell>
          <cell r="AC517">
            <v>1</v>
          </cell>
          <cell r="AD517">
            <v>1</v>
          </cell>
          <cell r="AF517">
            <v>1</v>
          </cell>
          <cell r="AG517"/>
          <cell r="AH517">
            <v>1</v>
          </cell>
          <cell r="AI517"/>
          <cell r="AJ517"/>
          <cell r="AK517"/>
          <cell r="AL517">
            <v>1</v>
          </cell>
          <cell r="AM517">
            <v>1</v>
          </cell>
          <cell r="AN517">
            <v>1</v>
          </cell>
          <cell r="AO517">
            <v>1</v>
          </cell>
          <cell r="AP517">
            <v>1</v>
          </cell>
          <cell r="AQ517"/>
          <cell r="AR517"/>
          <cell r="AS517"/>
          <cell r="AT517"/>
          <cell r="AU517"/>
          <cell r="AV517"/>
          <cell r="AW517">
            <v>1</v>
          </cell>
          <cell r="AX517"/>
          <cell r="AY517"/>
          <cell r="AZ517" t="str">
            <v>B</v>
          </cell>
          <cell r="BA517" t="str">
            <v>신아금속</v>
          </cell>
          <cell r="BB517" t="str">
            <v>H50A17K</v>
          </cell>
          <cell r="BC517" t="str">
            <v>MB275875A</v>
          </cell>
          <cell r="BD517" t="str">
            <v>K591</v>
          </cell>
          <cell r="BE517" t="str">
            <v>S/B</v>
          </cell>
          <cell r="BF517"/>
          <cell r="BG517"/>
          <cell r="BH517"/>
          <cell r="BI517">
            <v>49</v>
          </cell>
          <cell r="BJ517">
            <v>539</v>
          </cell>
          <cell r="BK517">
            <v>28</v>
          </cell>
          <cell r="BL517">
            <v>2</v>
          </cell>
          <cell r="BM517"/>
          <cell r="BN517"/>
          <cell r="BO517"/>
          <cell r="BP517"/>
          <cell r="BQ517"/>
          <cell r="BR517"/>
          <cell r="BS517"/>
          <cell r="BT517"/>
          <cell r="BU517"/>
          <cell r="BV517"/>
          <cell r="BW517"/>
          <cell r="BX517"/>
          <cell r="BY517"/>
          <cell r="BZ517"/>
          <cell r="CA517"/>
          <cell r="CB517"/>
          <cell r="CC517"/>
          <cell r="CD517"/>
          <cell r="CE517"/>
          <cell r="CF517"/>
          <cell r="CG517"/>
          <cell r="CH517"/>
          <cell r="CI517"/>
          <cell r="CJ517"/>
          <cell r="CK517"/>
          <cell r="CL517"/>
          <cell r="CM517"/>
          <cell r="CN517"/>
          <cell r="CO517"/>
          <cell r="CP517"/>
        </row>
        <row r="518">
          <cell r="C518">
            <v>1892</v>
          </cell>
          <cell r="D518" t="str">
            <v>HC000047</v>
          </cell>
          <cell r="E518" t="str">
            <v xml:space="preserve"> ASS'Y,2ND SEAT REINF</v>
          </cell>
          <cell r="I518">
            <v>1</v>
          </cell>
          <cell r="J518">
            <v>1</v>
          </cell>
          <cell r="K518">
            <v>1</v>
          </cell>
          <cell r="O518">
            <v>1</v>
          </cell>
          <cell r="Q518">
            <v>1</v>
          </cell>
          <cell r="S518">
            <v>1</v>
          </cell>
          <cell r="T518">
            <v>1</v>
          </cell>
          <cell r="V518">
            <v>1</v>
          </cell>
          <cell r="X518">
            <v>1</v>
          </cell>
          <cell r="Y518">
            <v>1</v>
          </cell>
          <cell r="Z518">
            <v>1</v>
          </cell>
          <cell r="AA518">
            <v>1</v>
          </cell>
          <cell r="AE518">
            <v>1</v>
          </cell>
          <cell r="AG518">
            <v>1</v>
          </cell>
          <cell r="AI518">
            <v>1</v>
          </cell>
          <cell r="AJ518">
            <v>1</v>
          </cell>
          <cell r="AK518">
            <v>1</v>
          </cell>
          <cell r="AQ518">
            <v>1</v>
          </cell>
          <cell r="AR518">
            <v>1</v>
          </cell>
          <cell r="AS518">
            <v>1</v>
          </cell>
          <cell r="AT518">
            <v>1</v>
          </cell>
          <cell r="AU518">
            <v>1</v>
          </cell>
          <cell r="AV518">
            <v>1</v>
          </cell>
          <cell r="AX518">
            <v>1</v>
          </cell>
          <cell r="AY518">
            <v>1</v>
          </cell>
          <cell r="AZ518" t="str">
            <v>B</v>
          </cell>
          <cell r="BA518" t="str">
            <v>영진(주)</v>
          </cell>
          <cell r="BB518" t="str">
            <v>H50A12K</v>
          </cell>
          <cell r="BD518" t="str">
            <v>K549</v>
          </cell>
          <cell r="BI518">
            <v>888</v>
          </cell>
          <cell r="BJ518">
            <v>458</v>
          </cell>
          <cell r="BK518">
            <v>90</v>
          </cell>
          <cell r="BL518">
            <v>100</v>
          </cell>
          <cell r="BM518"/>
          <cell r="BN518"/>
          <cell r="BO518"/>
          <cell r="BP518"/>
          <cell r="BQ518"/>
          <cell r="BR518"/>
          <cell r="BS518"/>
          <cell r="BT518"/>
          <cell r="BU518"/>
          <cell r="BV518"/>
          <cell r="BW518"/>
          <cell r="BX518"/>
          <cell r="BY518"/>
          <cell r="BZ518"/>
          <cell r="CA518"/>
          <cell r="CB518"/>
          <cell r="CC518"/>
          <cell r="CD518"/>
          <cell r="CE518"/>
          <cell r="CF518"/>
          <cell r="CG518"/>
          <cell r="CH518"/>
          <cell r="CI518"/>
          <cell r="CJ518"/>
          <cell r="CK518"/>
          <cell r="CL518"/>
          <cell r="CM518"/>
          <cell r="CN518"/>
          <cell r="CO518"/>
          <cell r="CP518"/>
          <cell r="CQ518"/>
        </row>
        <row r="519">
          <cell r="C519">
            <v>1899</v>
          </cell>
          <cell r="D519" t="str">
            <v>HC000071A</v>
          </cell>
          <cell r="E519" t="str">
            <v xml:space="preserve"> PANEL,QTR INR,LOW EXT LH</v>
          </cell>
          <cell r="F519" t="str">
            <v>-973A</v>
          </cell>
          <cell r="I519">
            <v>1</v>
          </cell>
          <cell r="J519">
            <v>1</v>
          </cell>
          <cell r="K519">
            <v>1</v>
          </cell>
          <cell r="O519">
            <v>1</v>
          </cell>
          <cell r="Q519">
            <v>1</v>
          </cell>
          <cell r="S519">
            <v>1</v>
          </cell>
          <cell r="T519">
            <v>1</v>
          </cell>
          <cell r="V519">
            <v>1</v>
          </cell>
          <cell r="X519">
            <v>1</v>
          </cell>
          <cell r="Y519">
            <v>1</v>
          </cell>
          <cell r="Z519">
            <v>1</v>
          </cell>
          <cell r="AA519">
            <v>1</v>
          </cell>
          <cell r="AE519">
            <v>1</v>
          </cell>
          <cell r="AG519">
            <v>1</v>
          </cell>
          <cell r="AI519">
            <v>1</v>
          </cell>
          <cell r="AJ519">
            <v>1</v>
          </cell>
          <cell r="AK519">
            <v>1</v>
          </cell>
          <cell r="AQ519">
            <v>1</v>
          </cell>
          <cell r="AR519">
            <v>1</v>
          </cell>
          <cell r="AS519">
            <v>1</v>
          </cell>
          <cell r="AT519">
            <v>1</v>
          </cell>
          <cell r="AU519">
            <v>1</v>
          </cell>
          <cell r="AV519">
            <v>1</v>
          </cell>
          <cell r="AW519">
            <v>1</v>
          </cell>
          <cell r="AX519">
            <v>1</v>
          </cell>
          <cell r="AY519">
            <v>1</v>
          </cell>
          <cell r="AZ519" t="str">
            <v>B</v>
          </cell>
          <cell r="BA519" t="str">
            <v>영진(주)</v>
          </cell>
          <cell r="BB519" t="str">
            <v>H50A12K</v>
          </cell>
          <cell r="BC519" t="str">
            <v>HC000071</v>
          </cell>
          <cell r="BD519" t="str">
            <v>K549</v>
          </cell>
          <cell r="BI519">
            <v>888</v>
          </cell>
          <cell r="BJ519">
            <v>458</v>
          </cell>
          <cell r="BK519">
            <v>90</v>
          </cell>
          <cell r="BL519">
            <v>102</v>
          </cell>
          <cell r="BM519"/>
          <cell r="BN519"/>
          <cell r="BO519"/>
          <cell r="BP519"/>
          <cell r="BQ519"/>
          <cell r="BR519"/>
          <cell r="BS519"/>
          <cell r="BT519"/>
          <cell r="BU519"/>
          <cell r="BV519"/>
          <cell r="BW519"/>
          <cell r="BX519"/>
          <cell r="BY519"/>
          <cell r="BZ519"/>
          <cell r="CA519"/>
          <cell r="CB519"/>
          <cell r="CC519"/>
          <cell r="CD519"/>
          <cell r="CE519"/>
          <cell r="CF519"/>
          <cell r="CG519"/>
          <cell r="CH519"/>
          <cell r="CI519"/>
          <cell r="CJ519"/>
          <cell r="CK519"/>
          <cell r="CL519"/>
          <cell r="CM519"/>
          <cell r="CN519"/>
          <cell r="CO519"/>
          <cell r="CP519"/>
          <cell r="CQ519"/>
        </row>
        <row r="520">
          <cell r="C520">
            <v>1899</v>
          </cell>
          <cell r="D520" t="str">
            <v>HC000072A</v>
          </cell>
          <cell r="E520" t="str">
            <v xml:space="preserve"> PANEL,QTR INR,LOW EXT RH</v>
          </cell>
          <cell r="F520" t="str">
            <v>-973A</v>
          </cell>
          <cell r="I520">
            <v>1</v>
          </cell>
          <cell r="J520">
            <v>1</v>
          </cell>
          <cell r="K520">
            <v>1</v>
          </cell>
          <cell r="O520">
            <v>1</v>
          </cell>
          <cell r="Q520">
            <v>1</v>
          </cell>
          <cell r="S520">
            <v>1</v>
          </cell>
          <cell r="T520">
            <v>1</v>
          </cell>
          <cell r="V520">
            <v>1</v>
          </cell>
          <cell r="X520">
            <v>1</v>
          </cell>
          <cell r="Y520">
            <v>1</v>
          </cell>
          <cell r="Z520">
            <v>1</v>
          </cell>
          <cell r="AA520">
            <v>1</v>
          </cell>
          <cell r="AE520">
            <v>1</v>
          </cell>
          <cell r="AG520">
            <v>1</v>
          </cell>
          <cell r="AI520">
            <v>1</v>
          </cell>
          <cell r="AJ520">
            <v>1</v>
          </cell>
          <cell r="AK520">
            <v>1</v>
          </cell>
          <cell r="AQ520">
            <v>1</v>
          </cell>
          <cell r="AR520">
            <v>1</v>
          </cell>
          <cell r="AS520">
            <v>1</v>
          </cell>
          <cell r="AT520">
            <v>1</v>
          </cell>
          <cell r="AU520">
            <v>1</v>
          </cell>
          <cell r="AV520">
            <v>1</v>
          </cell>
          <cell r="AW520">
            <v>1</v>
          </cell>
          <cell r="AX520">
            <v>1</v>
          </cell>
          <cell r="AY520">
            <v>1</v>
          </cell>
          <cell r="AZ520" t="str">
            <v>B</v>
          </cell>
          <cell r="BA520" t="str">
            <v>영진(주)</v>
          </cell>
          <cell r="BB520" t="str">
            <v>H50A12K</v>
          </cell>
          <cell r="BC520" t="str">
            <v>HC000072</v>
          </cell>
          <cell r="BD520" t="str">
            <v>K549</v>
          </cell>
          <cell r="BI520">
            <v>888</v>
          </cell>
          <cell r="BJ520">
            <v>458</v>
          </cell>
          <cell r="BK520">
            <v>90</v>
          </cell>
          <cell r="BL520">
            <v>102</v>
          </cell>
          <cell r="BM520"/>
          <cell r="BN520"/>
          <cell r="BO520"/>
          <cell r="BP520"/>
          <cell r="BQ520"/>
          <cell r="BR520"/>
          <cell r="BS520"/>
          <cell r="BT520"/>
          <cell r="BU520"/>
          <cell r="BV520"/>
          <cell r="BW520"/>
          <cell r="BX520"/>
          <cell r="BY520"/>
          <cell r="BZ520"/>
          <cell r="CA520"/>
          <cell r="CB520"/>
          <cell r="CC520"/>
          <cell r="CD520"/>
          <cell r="CE520"/>
          <cell r="CF520"/>
          <cell r="CG520"/>
          <cell r="CH520"/>
          <cell r="CI520"/>
          <cell r="CJ520"/>
          <cell r="CK520"/>
          <cell r="CL520"/>
          <cell r="CM520"/>
          <cell r="CN520"/>
          <cell r="CO520"/>
          <cell r="CP520"/>
          <cell r="CQ520"/>
        </row>
        <row r="521">
          <cell r="C521">
            <v>2584</v>
          </cell>
          <cell r="D521" t="str">
            <v>HG300007</v>
          </cell>
          <cell r="E521" t="str">
            <v xml:space="preserve"> REINF,HINGE(A)</v>
          </cell>
          <cell r="F521" t="str">
            <v>삭제예정ITEM</v>
          </cell>
          <cell r="G521">
            <v>1</v>
          </cell>
          <cell r="AZ521" t="str">
            <v>B</v>
          </cell>
          <cell r="BA521" t="str">
            <v>영진(주)</v>
          </cell>
          <cell r="BB521" t="str">
            <v>H50B33K</v>
          </cell>
          <cell r="BD521" t="str">
            <v>K549</v>
          </cell>
          <cell r="BE521" t="str">
            <v>ALL</v>
          </cell>
          <cell r="BI521">
            <v>0</v>
          </cell>
          <cell r="BJ521">
            <v>0</v>
          </cell>
          <cell r="BK521">
            <v>0</v>
          </cell>
          <cell r="BL521">
            <v>0</v>
          </cell>
          <cell r="BM521"/>
          <cell r="BN521"/>
          <cell r="BO521"/>
          <cell r="BP521"/>
          <cell r="BQ521"/>
          <cell r="BR521"/>
          <cell r="BS521"/>
          <cell r="BT521"/>
          <cell r="BU521"/>
          <cell r="BV521"/>
          <cell r="BW521"/>
          <cell r="BX521"/>
          <cell r="BY521"/>
          <cell r="BZ521"/>
          <cell r="CA521"/>
          <cell r="CB521"/>
          <cell r="CC521"/>
          <cell r="CD521"/>
          <cell r="CE521"/>
          <cell r="CF521"/>
          <cell r="CG521"/>
          <cell r="CH521"/>
          <cell r="CI521"/>
          <cell r="CJ521"/>
          <cell r="CK521"/>
        </row>
        <row r="522">
          <cell r="C522">
            <v>2584</v>
          </cell>
          <cell r="D522" t="str">
            <v>HG300008</v>
          </cell>
          <cell r="E522" t="str">
            <v xml:space="preserve"> REINF,HINGE(C)</v>
          </cell>
          <cell r="F522" t="str">
            <v>삭제예정ITEM</v>
          </cell>
          <cell r="G522">
            <v>1</v>
          </cell>
          <cell r="AZ522" t="str">
            <v>B</v>
          </cell>
          <cell r="BA522" t="str">
            <v>영진(주)</v>
          </cell>
          <cell r="BB522" t="str">
            <v>H50B33K</v>
          </cell>
          <cell r="BD522" t="str">
            <v>K549</v>
          </cell>
          <cell r="BE522" t="str">
            <v>ALL</v>
          </cell>
          <cell r="BI522">
            <v>0</v>
          </cell>
          <cell r="BJ522">
            <v>0</v>
          </cell>
          <cell r="BK522">
            <v>0</v>
          </cell>
          <cell r="BL522">
            <v>0</v>
          </cell>
          <cell r="BM522"/>
          <cell r="BN522"/>
          <cell r="BO522"/>
          <cell r="BP522"/>
          <cell r="BQ522"/>
          <cell r="BR522"/>
          <cell r="BS522"/>
          <cell r="BT522"/>
          <cell r="BU522"/>
          <cell r="BV522"/>
          <cell r="BW522"/>
          <cell r="BX522"/>
          <cell r="BY522"/>
          <cell r="BZ522"/>
          <cell r="CA522"/>
          <cell r="CB522"/>
          <cell r="CC522"/>
          <cell r="CD522"/>
          <cell r="CE522"/>
          <cell r="CF522"/>
          <cell r="CG522"/>
          <cell r="CH522"/>
          <cell r="CI522"/>
          <cell r="CJ522"/>
          <cell r="CK522"/>
        </row>
        <row r="523">
          <cell r="C523">
            <v>2584</v>
          </cell>
          <cell r="D523" t="str">
            <v>MB112555</v>
          </cell>
          <cell r="E523" t="str">
            <v xml:space="preserve"> REINF,HINGE(B)</v>
          </cell>
          <cell r="G523">
            <v>1</v>
          </cell>
          <cell r="AZ523" t="str">
            <v>B</v>
          </cell>
          <cell r="BA523" t="str">
            <v>영진(주)</v>
          </cell>
          <cell r="BB523" t="str">
            <v>H50B33K</v>
          </cell>
          <cell r="BD523" t="str">
            <v>K549</v>
          </cell>
          <cell r="BE523" t="str">
            <v>ALL</v>
          </cell>
          <cell r="BI523">
            <v>0</v>
          </cell>
          <cell r="BJ523">
            <v>0</v>
          </cell>
          <cell r="BK523">
            <v>0</v>
          </cell>
          <cell r="BL523">
            <v>0</v>
          </cell>
          <cell r="BM523"/>
          <cell r="BN523"/>
          <cell r="BO523"/>
          <cell r="BP523"/>
          <cell r="BQ523"/>
          <cell r="BR523"/>
          <cell r="BS523"/>
          <cell r="BT523"/>
          <cell r="BU523"/>
          <cell r="BV523"/>
          <cell r="BW523"/>
          <cell r="BX523"/>
          <cell r="BY523"/>
          <cell r="BZ523"/>
          <cell r="CA523"/>
          <cell r="CB523"/>
          <cell r="CC523"/>
          <cell r="CD523"/>
          <cell r="CE523"/>
          <cell r="CF523"/>
          <cell r="CG523"/>
          <cell r="CH523"/>
          <cell r="CI523"/>
          <cell r="CJ523"/>
          <cell r="CK523"/>
        </row>
        <row r="524">
          <cell r="C524">
            <v>2584</v>
          </cell>
          <cell r="D524" t="str">
            <v>MB112557A</v>
          </cell>
          <cell r="E524" t="str">
            <v xml:space="preserve"> REINF,HINGE(D)</v>
          </cell>
          <cell r="G524">
            <v>1</v>
          </cell>
          <cell r="AZ524" t="str">
            <v>B</v>
          </cell>
          <cell r="BA524" t="str">
            <v>영진(주)</v>
          </cell>
          <cell r="BB524" t="str">
            <v>H50B33K</v>
          </cell>
          <cell r="BD524" t="str">
            <v>K549</v>
          </cell>
          <cell r="BE524" t="str">
            <v>ALL</v>
          </cell>
          <cell r="BI524">
            <v>0</v>
          </cell>
          <cell r="BJ524">
            <v>0</v>
          </cell>
          <cell r="BK524">
            <v>0</v>
          </cell>
          <cell r="BL524">
            <v>0</v>
          </cell>
          <cell r="BM524"/>
          <cell r="BN524"/>
          <cell r="BO524"/>
          <cell r="BP524"/>
          <cell r="BQ524"/>
          <cell r="BR524"/>
          <cell r="BS524"/>
          <cell r="BT524"/>
          <cell r="BU524"/>
          <cell r="BV524"/>
          <cell r="BW524"/>
          <cell r="BX524"/>
          <cell r="BY524"/>
          <cell r="BZ524"/>
          <cell r="CA524"/>
          <cell r="CB524"/>
          <cell r="CC524"/>
          <cell r="CD524"/>
          <cell r="CE524"/>
          <cell r="CF524"/>
          <cell r="CG524"/>
          <cell r="CH524"/>
          <cell r="CI524"/>
          <cell r="CJ524"/>
          <cell r="CK524"/>
        </row>
        <row r="525">
          <cell r="C525">
            <v>2584</v>
          </cell>
          <cell r="D525" t="str">
            <v>MB112621</v>
          </cell>
          <cell r="E525" t="str">
            <v xml:space="preserve"> REINF,HINGE(E)</v>
          </cell>
          <cell r="G525">
            <v>1</v>
          </cell>
          <cell r="AZ525" t="str">
            <v>B</v>
          </cell>
          <cell r="BA525" t="str">
            <v>영진(주)</v>
          </cell>
          <cell r="BB525" t="str">
            <v>H50B33K</v>
          </cell>
          <cell r="BD525" t="str">
            <v>K549</v>
          </cell>
          <cell r="BE525" t="str">
            <v>ALL</v>
          </cell>
          <cell r="BI525">
            <v>0</v>
          </cell>
          <cell r="BJ525">
            <v>0</v>
          </cell>
          <cell r="BK525">
            <v>0</v>
          </cell>
          <cell r="BL525">
            <v>0</v>
          </cell>
          <cell r="BM525"/>
          <cell r="BN525"/>
          <cell r="BO525"/>
          <cell r="BP525"/>
          <cell r="BQ525"/>
          <cell r="BR525"/>
          <cell r="BS525"/>
          <cell r="BT525"/>
          <cell r="BU525"/>
          <cell r="BV525"/>
          <cell r="BW525"/>
          <cell r="BX525"/>
          <cell r="BY525"/>
          <cell r="BZ525"/>
          <cell r="CA525"/>
          <cell r="CB525"/>
          <cell r="CC525"/>
          <cell r="CD525"/>
          <cell r="CE525"/>
          <cell r="CF525"/>
          <cell r="CG525"/>
          <cell r="CH525"/>
          <cell r="CI525"/>
          <cell r="CJ525"/>
          <cell r="CK525"/>
        </row>
        <row r="526">
          <cell r="C526">
            <v>5168</v>
          </cell>
          <cell r="D526" t="str">
            <v>MB250014A</v>
          </cell>
          <cell r="E526" t="str">
            <v xml:space="preserve"> BRKT ASS'Y,NO2 MOUNT RH </v>
          </cell>
          <cell r="G526">
            <v>2</v>
          </cell>
          <cell r="AZ526" t="str">
            <v>B</v>
          </cell>
          <cell r="BA526" t="str">
            <v>영진(주)</v>
          </cell>
          <cell r="BB526" t="str">
            <v>H50A11K</v>
          </cell>
          <cell r="BD526" t="str">
            <v>K549</v>
          </cell>
          <cell r="BE526" t="str">
            <v>ALL</v>
          </cell>
          <cell r="BI526">
            <v>0</v>
          </cell>
          <cell r="BJ526">
            <v>0</v>
          </cell>
          <cell r="BK526">
            <v>0</v>
          </cell>
          <cell r="BL526">
            <v>0</v>
          </cell>
          <cell r="BM526"/>
          <cell r="BN526"/>
          <cell r="BO526"/>
          <cell r="BP526"/>
          <cell r="BQ526"/>
          <cell r="BR526"/>
          <cell r="BS526"/>
          <cell r="BT526"/>
          <cell r="BU526"/>
          <cell r="BV526"/>
          <cell r="BW526"/>
          <cell r="BX526"/>
          <cell r="BY526"/>
          <cell r="BZ526"/>
          <cell r="CA526"/>
          <cell r="CB526"/>
          <cell r="CC526"/>
          <cell r="CD526"/>
          <cell r="CE526"/>
          <cell r="CF526"/>
          <cell r="CG526"/>
          <cell r="CH526"/>
          <cell r="CI526"/>
          <cell r="CJ526"/>
          <cell r="CK526"/>
        </row>
        <row r="527">
          <cell r="C527">
            <v>3784</v>
          </cell>
          <cell r="D527" t="str">
            <v>MB275039</v>
          </cell>
          <cell r="E527" t="str">
            <v xml:space="preserve"> BRKT ASS'Y,NO3 MOUNT</v>
          </cell>
          <cell r="I527">
            <v>2</v>
          </cell>
          <cell r="J527">
            <v>2</v>
          </cell>
          <cell r="K527">
            <v>2</v>
          </cell>
          <cell r="O527">
            <v>2</v>
          </cell>
          <cell r="Q527">
            <v>2</v>
          </cell>
          <cell r="S527">
            <v>2</v>
          </cell>
          <cell r="T527">
            <v>2</v>
          </cell>
          <cell r="V527">
            <v>2</v>
          </cell>
          <cell r="X527">
            <v>2</v>
          </cell>
          <cell r="Y527">
            <v>2</v>
          </cell>
          <cell r="Z527">
            <v>2</v>
          </cell>
          <cell r="AA527">
            <v>2</v>
          </cell>
          <cell r="AE527">
            <v>2</v>
          </cell>
          <cell r="AG527">
            <v>2</v>
          </cell>
          <cell r="AI527">
            <v>2</v>
          </cell>
          <cell r="AJ527">
            <v>2</v>
          </cell>
          <cell r="AK527">
            <v>2</v>
          </cell>
          <cell r="AQ527">
            <v>2</v>
          </cell>
          <cell r="AR527">
            <v>2</v>
          </cell>
          <cell r="AS527">
            <v>2</v>
          </cell>
          <cell r="AT527">
            <v>2</v>
          </cell>
          <cell r="AU527">
            <v>2</v>
          </cell>
          <cell r="AV527">
            <v>2</v>
          </cell>
          <cell r="AX527">
            <v>2</v>
          </cell>
          <cell r="AY527">
            <v>2</v>
          </cell>
          <cell r="AZ527" t="str">
            <v>B</v>
          </cell>
          <cell r="BA527" t="str">
            <v>영진(주)</v>
          </cell>
          <cell r="BB527" t="str">
            <v>H50A11K</v>
          </cell>
          <cell r="BD527" t="str">
            <v>K549</v>
          </cell>
          <cell r="BI527">
            <v>1776</v>
          </cell>
          <cell r="BJ527">
            <v>916</v>
          </cell>
          <cell r="BK527">
            <v>180</v>
          </cell>
          <cell r="BL527">
            <v>200</v>
          </cell>
          <cell r="BM527"/>
          <cell r="BN527"/>
          <cell r="BO527"/>
          <cell r="BP527"/>
          <cell r="BQ527"/>
          <cell r="BR527"/>
          <cell r="BS527"/>
          <cell r="BT527"/>
          <cell r="BU527"/>
          <cell r="BV527"/>
          <cell r="BW527"/>
          <cell r="BX527"/>
          <cell r="BY527"/>
          <cell r="BZ527"/>
          <cell r="CA527"/>
          <cell r="CB527"/>
          <cell r="CC527"/>
          <cell r="CD527"/>
          <cell r="CE527"/>
          <cell r="CF527"/>
          <cell r="CG527"/>
          <cell r="CH527"/>
          <cell r="CI527"/>
          <cell r="CJ527"/>
          <cell r="CK527"/>
          <cell r="CL527"/>
          <cell r="CM527"/>
          <cell r="CN527"/>
          <cell r="CO527"/>
          <cell r="CP527"/>
          <cell r="CQ527"/>
        </row>
        <row r="528">
          <cell r="C528">
            <v>1817</v>
          </cell>
          <cell r="D528" t="str">
            <v>MB275338A</v>
          </cell>
          <cell r="E528" t="str">
            <v xml:space="preserve"> COVER ASS'Y,BRIDGE PANEL</v>
          </cell>
          <cell r="H528">
            <v>1</v>
          </cell>
          <cell r="I528">
            <v>1</v>
          </cell>
          <cell r="J528">
            <v>1</v>
          </cell>
          <cell r="K528">
            <v>1</v>
          </cell>
          <cell r="L528">
            <v>1</v>
          </cell>
          <cell r="M528">
            <v>1</v>
          </cell>
          <cell r="R528">
            <v>1</v>
          </cell>
          <cell r="S528">
            <v>1</v>
          </cell>
          <cell r="T528">
            <v>1</v>
          </cell>
          <cell r="U528">
            <v>1</v>
          </cell>
          <cell r="V528">
            <v>1</v>
          </cell>
          <cell r="W528">
            <v>1</v>
          </cell>
          <cell r="X528">
            <v>1</v>
          </cell>
          <cell r="Y528">
            <v>1</v>
          </cell>
          <cell r="AA528">
            <v>1</v>
          </cell>
          <cell r="AB528">
            <v>1</v>
          </cell>
          <cell r="AC528">
            <v>1</v>
          </cell>
          <cell r="AD528">
            <v>1</v>
          </cell>
          <cell r="AE528">
            <v>1</v>
          </cell>
          <cell r="AF528">
            <v>1</v>
          </cell>
          <cell r="AG528">
            <v>1</v>
          </cell>
          <cell r="AH528">
            <v>1</v>
          </cell>
          <cell r="AI528">
            <v>1</v>
          </cell>
          <cell r="AJ528">
            <v>1</v>
          </cell>
          <cell r="AK528">
            <v>1</v>
          </cell>
          <cell r="AL528">
            <v>1</v>
          </cell>
          <cell r="AM528">
            <v>1</v>
          </cell>
          <cell r="AN528">
            <v>1</v>
          </cell>
          <cell r="AO528"/>
          <cell r="AP528">
            <v>1</v>
          </cell>
          <cell r="AQ528">
            <v>1</v>
          </cell>
          <cell r="AR528">
            <v>1</v>
          </cell>
          <cell r="AS528"/>
          <cell r="AT528"/>
          <cell r="AU528">
            <v>1</v>
          </cell>
          <cell r="AV528">
            <v>1</v>
          </cell>
          <cell r="AW528">
            <v>1</v>
          </cell>
          <cell r="AX528">
            <v>1</v>
          </cell>
          <cell r="AY528">
            <v>1</v>
          </cell>
          <cell r="AZ528" t="str">
            <v>B</v>
          </cell>
          <cell r="BA528" t="str">
            <v>영진(주)</v>
          </cell>
          <cell r="BB528" t="str">
            <v>H50C39K</v>
          </cell>
          <cell r="BC528"/>
          <cell r="BD528" t="str">
            <v>K549</v>
          </cell>
          <cell r="BE528"/>
          <cell r="BI528">
            <v>515</v>
          </cell>
          <cell r="BJ528">
            <v>997</v>
          </cell>
          <cell r="BK528">
            <v>110</v>
          </cell>
          <cell r="BL528">
            <v>73</v>
          </cell>
          <cell r="BM528"/>
          <cell r="BN528"/>
          <cell r="BO528"/>
          <cell r="BP528"/>
          <cell r="BQ528"/>
          <cell r="BR528"/>
          <cell r="BS528"/>
          <cell r="BT528"/>
          <cell r="BU528"/>
          <cell r="BV528"/>
          <cell r="BW528"/>
          <cell r="BX528"/>
          <cell r="BY528"/>
          <cell r="BZ528"/>
          <cell r="CA528"/>
          <cell r="CB528"/>
          <cell r="CC528"/>
          <cell r="CD528"/>
          <cell r="CE528"/>
          <cell r="CF528"/>
          <cell r="CG528"/>
          <cell r="CH528"/>
          <cell r="CI528"/>
          <cell r="CJ528"/>
          <cell r="CK528"/>
        </row>
        <row r="529">
          <cell r="C529">
            <v>2584</v>
          </cell>
          <cell r="D529" t="str">
            <v>MB521097</v>
          </cell>
          <cell r="E529" t="str">
            <v xml:space="preserve"> REINF,CENTER LH</v>
          </cell>
          <cell r="G529">
            <v>1</v>
          </cell>
          <cell r="AZ529" t="str">
            <v>B</v>
          </cell>
          <cell r="BA529" t="str">
            <v>영진(주)</v>
          </cell>
          <cell r="BB529" t="str">
            <v>H61A90K</v>
          </cell>
          <cell r="BD529" t="str">
            <v>K549</v>
          </cell>
          <cell r="BI529">
            <v>0</v>
          </cell>
          <cell r="BJ529">
            <v>0</v>
          </cell>
          <cell r="BK529">
            <v>0</v>
          </cell>
          <cell r="BL529">
            <v>0</v>
          </cell>
          <cell r="BM529"/>
          <cell r="BN529"/>
          <cell r="BO529"/>
          <cell r="BP529"/>
          <cell r="BQ529"/>
          <cell r="BR529"/>
          <cell r="BS529"/>
          <cell r="BT529"/>
          <cell r="BU529"/>
          <cell r="BV529"/>
          <cell r="BW529"/>
          <cell r="BX529"/>
          <cell r="BY529"/>
          <cell r="BZ529"/>
          <cell r="CA529"/>
          <cell r="CB529"/>
          <cell r="CC529"/>
          <cell r="CD529"/>
          <cell r="CE529"/>
          <cell r="CF529"/>
          <cell r="CG529"/>
          <cell r="CH529"/>
          <cell r="CI529"/>
          <cell r="CJ529"/>
        </row>
        <row r="530">
          <cell r="C530">
            <v>2584</v>
          </cell>
          <cell r="D530" t="str">
            <v>MB521098</v>
          </cell>
          <cell r="E530" t="str">
            <v xml:space="preserve"> REINF,CENTER RH</v>
          </cell>
          <cell r="G530">
            <v>1</v>
          </cell>
          <cell r="AZ530" t="str">
            <v>B</v>
          </cell>
          <cell r="BA530" t="str">
            <v>영진(주)</v>
          </cell>
          <cell r="BB530" t="str">
            <v>H61A90K</v>
          </cell>
          <cell r="BD530" t="str">
            <v>K549</v>
          </cell>
          <cell r="BI530">
            <v>0</v>
          </cell>
          <cell r="BJ530">
            <v>0</v>
          </cell>
          <cell r="BK530">
            <v>0</v>
          </cell>
          <cell r="BL530">
            <v>0</v>
          </cell>
          <cell r="BM530"/>
          <cell r="BN530"/>
          <cell r="BO530"/>
          <cell r="BP530"/>
          <cell r="BQ530"/>
          <cell r="BR530"/>
          <cell r="BS530"/>
          <cell r="BT530"/>
          <cell r="BU530"/>
          <cell r="BV530"/>
          <cell r="BW530"/>
          <cell r="BX530"/>
          <cell r="BY530"/>
          <cell r="BZ530"/>
          <cell r="CA530"/>
          <cell r="CB530"/>
          <cell r="CC530"/>
          <cell r="CD530"/>
          <cell r="CE530"/>
          <cell r="CF530"/>
          <cell r="CG530"/>
          <cell r="CH530"/>
          <cell r="CI530"/>
          <cell r="CJ530"/>
        </row>
        <row r="531">
          <cell r="C531">
            <v>767</v>
          </cell>
          <cell r="D531" t="str">
            <v>MB591508</v>
          </cell>
          <cell r="E531" t="str">
            <v xml:space="preserve"> COVER ASS'Y,BRIDGE PANEL</v>
          </cell>
          <cell r="N531">
            <v>1</v>
          </cell>
          <cell r="O531">
            <v>1</v>
          </cell>
          <cell r="P531">
            <v>1</v>
          </cell>
          <cell r="Q531">
            <v>1</v>
          </cell>
          <cell r="Z531">
            <v>1</v>
          </cell>
          <cell r="AO531">
            <v>1</v>
          </cell>
          <cell r="AS531">
            <v>1</v>
          </cell>
          <cell r="AZ531" t="str">
            <v>B</v>
          </cell>
          <cell r="BA531" t="str">
            <v>영진(주)</v>
          </cell>
          <cell r="BB531" t="str">
            <v>H50C39K</v>
          </cell>
          <cell r="BC531" t="str">
            <v>IC1</v>
          </cell>
          <cell r="BD531" t="str">
            <v>K549</v>
          </cell>
          <cell r="BE531" t="str">
            <v>TCI</v>
          </cell>
          <cell r="BI531">
            <v>422</v>
          </cell>
          <cell r="BJ531">
            <v>0</v>
          </cell>
          <cell r="BK531">
            <v>8</v>
          </cell>
          <cell r="BL531">
            <v>29</v>
          </cell>
          <cell r="BM531"/>
          <cell r="BN531"/>
          <cell r="BO531"/>
          <cell r="BP531"/>
          <cell r="BQ531"/>
          <cell r="BR531"/>
          <cell r="BS531"/>
          <cell r="BT531"/>
          <cell r="BU531"/>
          <cell r="BV531"/>
          <cell r="BW531"/>
          <cell r="BX531"/>
          <cell r="BY531"/>
          <cell r="BZ531"/>
          <cell r="CA531"/>
          <cell r="CB531"/>
          <cell r="CC531"/>
          <cell r="CD531"/>
          <cell r="CE531"/>
          <cell r="CF531"/>
          <cell r="CG531"/>
          <cell r="CH531"/>
          <cell r="CI531"/>
          <cell r="CJ531"/>
          <cell r="CK531"/>
          <cell r="CL531"/>
        </row>
        <row r="532">
          <cell r="C532">
            <v>847</v>
          </cell>
          <cell r="D532" t="str">
            <v>XB591307A</v>
          </cell>
          <cell r="E532" t="str">
            <v xml:space="preserve"> REINF,SECRET BOX</v>
          </cell>
          <cell r="F532" t="str">
            <v>RR  HTR</v>
          </cell>
          <cell r="O532">
            <v>1</v>
          </cell>
          <cell r="Q532">
            <v>1</v>
          </cell>
          <cell r="X532">
            <v>1</v>
          </cell>
          <cell r="Z532">
            <v>1</v>
          </cell>
          <cell r="AE532">
            <v>1</v>
          </cell>
          <cell r="AI532">
            <v>1</v>
          </cell>
          <cell r="AJ532">
            <v>1</v>
          </cell>
          <cell r="AK532">
            <v>1</v>
          </cell>
          <cell r="AQ532">
            <v>1</v>
          </cell>
          <cell r="AS532">
            <v>1</v>
          </cell>
          <cell r="AT532">
            <v>1</v>
          </cell>
          <cell r="AZ532" t="str">
            <v>B</v>
          </cell>
          <cell r="BA532" t="str">
            <v>영진(주)</v>
          </cell>
          <cell r="BB532" t="str">
            <v>H50A12K</v>
          </cell>
          <cell r="BD532" t="str">
            <v>K549</v>
          </cell>
          <cell r="BI532">
            <v>397</v>
          </cell>
          <cell r="BJ532">
            <v>2</v>
          </cell>
          <cell r="BK532">
            <v>90</v>
          </cell>
          <cell r="BL532">
            <v>53</v>
          </cell>
          <cell r="BM532"/>
          <cell r="BN532"/>
          <cell r="BO532"/>
          <cell r="BP532"/>
          <cell r="BQ532"/>
          <cell r="BR532"/>
          <cell r="BS532"/>
          <cell r="BT532"/>
          <cell r="BU532"/>
          <cell r="BV532"/>
          <cell r="BW532"/>
          <cell r="BX532"/>
          <cell r="BY532"/>
          <cell r="BZ532"/>
          <cell r="CA532"/>
          <cell r="CB532"/>
          <cell r="CC532"/>
          <cell r="CD532"/>
          <cell r="CE532"/>
          <cell r="CF532"/>
          <cell r="CG532"/>
          <cell r="CH532"/>
          <cell r="CI532"/>
          <cell r="CJ532"/>
          <cell r="CK532"/>
          <cell r="CL532"/>
          <cell r="CM532"/>
          <cell r="CN532"/>
          <cell r="CO532"/>
          <cell r="CP532"/>
          <cell r="CQ532"/>
        </row>
        <row r="533">
          <cell r="C533">
            <v>539</v>
          </cell>
          <cell r="D533" t="str">
            <v>HC250003</v>
          </cell>
          <cell r="E533" t="str">
            <v xml:space="preserve"> PANEL SIDE INR UPR LH</v>
          </cell>
          <cell r="R533">
            <v>1</v>
          </cell>
          <cell r="AB533">
            <v>1</v>
          </cell>
          <cell r="AZ533" t="str">
            <v>B</v>
          </cell>
          <cell r="BA533" t="str">
            <v>우창</v>
          </cell>
          <cell r="BB533" t="str">
            <v>H50A17K</v>
          </cell>
          <cell r="BC533" t="str">
            <v>V2</v>
          </cell>
          <cell r="BD533" t="str">
            <v>Q816</v>
          </cell>
          <cell r="BE533" t="str">
            <v>VAN</v>
          </cell>
          <cell r="BI533">
            <v>0</v>
          </cell>
          <cell r="BJ533">
            <v>539</v>
          </cell>
          <cell r="BK533">
            <v>0</v>
          </cell>
          <cell r="BL533">
            <v>0</v>
          </cell>
          <cell r="BM533"/>
          <cell r="BN533"/>
          <cell r="BO533"/>
          <cell r="BP533"/>
          <cell r="BQ533"/>
          <cell r="BR533"/>
          <cell r="BS533"/>
          <cell r="BT533"/>
          <cell r="BU533"/>
          <cell r="BV533"/>
          <cell r="BW533"/>
          <cell r="BX533"/>
          <cell r="BY533"/>
          <cell r="BZ533"/>
          <cell r="CA533"/>
          <cell r="CB533"/>
          <cell r="CC533"/>
          <cell r="CD533"/>
          <cell r="CE533"/>
          <cell r="CF533"/>
          <cell r="CG533"/>
          <cell r="CH533"/>
          <cell r="CI533"/>
          <cell r="CJ533"/>
          <cell r="CK533"/>
          <cell r="CL533"/>
          <cell r="CM533"/>
          <cell r="CN533"/>
        </row>
        <row r="534">
          <cell r="C534">
            <v>539</v>
          </cell>
          <cell r="D534" t="str">
            <v>HC250004</v>
          </cell>
          <cell r="E534" t="str">
            <v xml:space="preserve"> PANEL SIDE INR UPR RH</v>
          </cell>
          <cell r="R534">
            <v>1</v>
          </cell>
          <cell r="AB534">
            <v>1</v>
          </cell>
          <cell r="AZ534" t="str">
            <v>B</v>
          </cell>
          <cell r="BA534" t="str">
            <v>우창</v>
          </cell>
          <cell r="BB534" t="str">
            <v>H50A17K</v>
          </cell>
          <cell r="BC534" t="str">
            <v>V2</v>
          </cell>
          <cell r="BD534" t="str">
            <v>Q816</v>
          </cell>
          <cell r="BE534" t="str">
            <v>VAN</v>
          </cell>
          <cell r="BI534">
            <v>0</v>
          </cell>
          <cell r="BJ534">
            <v>539</v>
          </cell>
          <cell r="BK534">
            <v>0</v>
          </cell>
          <cell r="BL534">
            <v>0</v>
          </cell>
          <cell r="BM534"/>
          <cell r="BN534"/>
          <cell r="BO534"/>
          <cell r="BP534"/>
          <cell r="BQ534"/>
          <cell r="BR534"/>
          <cell r="BS534"/>
          <cell r="BT534"/>
          <cell r="BU534"/>
          <cell r="BV534"/>
          <cell r="BW534"/>
          <cell r="BX534"/>
          <cell r="BY534"/>
          <cell r="BZ534"/>
          <cell r="CA534"/>
          <cell r="CB534"/>
          <cell r="CC534"/>
          <cell r="CD534"/>
          <cell r="CE534"/>
          <cell r="CF534"/>
          <cell r="CG534"/>
          <cell r="CH534"/>
          <cell r="CI534"/>
          <cell r="CJ534"/>
          <cell r="CK534"/>
          <cell r="CL534"/>
          <cell r="CM534"/>
          <cell r="CN534"/>
        </row>
        <row r="535">
          <cell r="C535">
            <v>30</v>
          </cell>
          <cell r="D535" t="str">
            <v>MB250865A</v>
          </cell>
          <cell r="E535" t="str">
            <v xml:space="preserve"> PANEL,SIDE INR UPR LH</v>
          </cell>
          <cell r="H535">
            <v>1</v>
          </cell>
          <cell r="AC535">
            <v>1</v>
          </cell>
          <cell r="AF535">
            <v>1</v>
          </cell>
          <cell r="AG535"/>
          <cell r="AH535"/>
          <cell r="AI535"/>
          <cell r="AJ535"/>
          <cell r="AK535"/>
          <cell r="AL535"/>
          <cell r="AM535"/>
          <cell r="AN535"/>
          <cell r="AO535"/>
          <cell r="AP535"/>
          <cell r="AQ535"/>
          <cell r="AR535"/>
          <cell r="AS535"/>
          <cell r="AT535"/>
          <cell r="AU535"/>
          <cell r="AV535"/>
          <cell r="AW535"/>
          <cell r="AX535"/>
          <cell r="AY535"/>
          <cell r="AZ535" t="str">
            <v>B</v>
          </cell>
          <cell r="BA535" t="str">
            <v>우창</v>
          </cell>
          <cell r="BB535" t="str">
            <v>H50A17K</v>
          </cell>
          <cell r="BC535"/>
          <cell r="BD535" t="str">
            <v>Q816</v>
          </cell>
          <cell r="BE535" t="str">
            <v>1</v>
          </cell>
          <cell r="BF535"/>
          <cell r="BG535"/>
          <cell r="BH535"/>
          <cell r="BI535">
            <v>0</v>
          </cell>
          <cell r="BJ535">
            <v>0</v>
          </cell>
          <cell r="BK535">
            <v>0</v>
          </cell>
          <cell r="BL535">
            <v>0</v>
          </cell>
          <cell r="BM535"/>
          <cell r="BN535"/>
          <cell r="BO535"/>
          <cell r="BP535"/>
          <cell r="BQ535"/>
          <cell r="BR535"/>
          <cell r="BS535"/>
          <cell r="BT535"/>
          <cell r="BU535"/>
          <cell r="BV535"/>
          <cell r="BW535"/>
          <cell r="BX535"/>
          <cell r="BY535"/>
          <cell r="BZ535"/>
          <cell r="CA535"/>
          <cell r="CB535"/>
          <cell r="CC535"/>
          <cell r="CD535"/>
          <cell r="CE535"/>
          <cell r="CF535"/>
          <cell r="CG535"/>
          <cell r="CH535"/>
          <cell r="CI535"/>
          <cell r="CJ535"/>
          <cell r="CK535"/>
          <cell r="CL535"/>
          <cell r="CM535"/>
          <cell r="CN535"/>
          <cell r="CO535"/>
        </row>
        <row r="536">
          <cell r="C536">
            <v>30</v>
          </cell>
          <cell r="D536" t="str">
            <v>MB250866A</v>
          </cell>
          <cell r="E536" t="str">
            <v xml:space="preserve"> PANEL,SIDE,INR UPR RH</v>
          </cell>
          <cell r="H536">
            <v>1</v>
          </cell>
          <cell r="AC536">
            <v>1</v>
          </cell>
          <cell r="AF536">
            <v>1</v>
          </cell>
          <cell r="AG536"/>
          <cell r="AH536"/>
          <cell r="AI536"/>
          <cell r="AJ536"/>
          <cell r="AK536"/>
          <cell r="AL536"/>
          <cell r="AM536"/>
          <cell r="AN536"/>
          <cell r="AO536"/>
          <cell r="AP536"/>
          <cell r="AQ536"/>
          <cell r="AR536"/>
          <cell r="AS536"/>
          <cell r="AT536"/>
          <cell r="AU536"/>
          <cell r="AV536"/>
          <cell r="AW536"/>
          <cell r="AX536"/>
          <cell r="AY536"/>
          <cell r="AZ536" t="str">
            <v>B</v>
          </cell>
          <cell r="BA536" t="str">
            <v>우창</v>
          </cell>
          <cell r="BB536" t="str">
            <v>H50A17K</v>
          </cell>
          <cell r="BC536"/>
          <cell r="BD536" t="str">
            <v>Q816</v>
          </cell>
          <cell r="BE536" t="str">
            <v>1</v>
          </cell>
          <cell r="BF536"/>
          <cell r="BG536"/>
          <cell r="BH536"/>
          <cell r="BI536">
            <v>0</v>
          </cell>
          <cell r="BJ536">
            <v>0</v>
          </cell>
          <cell r="BK536">
            <v>0</v>
          </cell>
          <cell r="BL536">
            <v>0</v>
          </cell>
          <cell r="BM536"/>
          <cell r="BN536"/>
          <cell r="BO536"/>
          <cell r="BP536"/>
          <cell r="BQ536"/>
          <cell r="BR536"/>
          <cell r="BS536"/>
          <cell r="BT536"/>
          <cell r="BU536"/>
          <cell r="BV536"/>
          <cell r="BW536"/>
          <cell r="BX536"/>
          <cell r="BY536"/>
          <cell r="BZ536"/>
          <cell r="CA536"/>
          <cell r="CB536"/>
          <cell r="CC536"/>
          <cell r="CD536"/>
          <cell r="CE536"/>
          <cell r="CF536"/>
          <cell r="CG536"/>
          <cell r="CH536"/>
          <cell r="CI536"/>
          <cell r="CJ536"/>
          <cell r="CK536"/>
          <cell r="CL536"/>
          <cell r="CM536"/>
          <cell r="CN536"/>
          <cell r="CO536"/>
        </row>
        <row r="537">
          <cell r="C537">
            <v>1036</v>
          </cell>
          <cell r="D537" t="str">
            <v>HQ505111</v>
          </cell>
          <cell r="E537" t="str">
            <v xml:space="preserve"> BRKT G SENSOR</v>
          </cell>
          <cell r="F537" t="str">
            <v>ABS</v>
          </cell>
          <cell r="K537">
            <v>1</v>
          </cell>
          <cell r="M537">
            <v>1</v>
          </cell>
          <cell r="N537">
            <v>1</v>
          </cell>
          <cell r="O537">
            <v>1</v>
          </cell>
          <cell r="P537">
            <v>1</v>
          </cell>
          <cell r="Q537">
            <v>1</v>
          </cell>
          <cell r="W537">
            <v>1</v>
          </cell>
          <cell r="X537">
            <v>1</v>
          </cell>
          <cell r="AD537">
            <v>1</v>
          </cell>
          <cell r="AE537">
            <v>1</v>
          </cell>
          <cell r="AH537">
            <v>1</v>
          </cell>
          <cell r="AZ537" t="str">
            <v>B</v>
          </cell>
          <cell r="BA537" t="str">
            <v>진원</v>
          </cell>
          <cell r="BB537" t="str">
            <v>H50A11K</v>
          </cell>
          <cell r="BD537" t="str">
            <v>H988</v>
          </cell>
          <cell r="BI537">
            <v>684</v>
          </cell>
          <cell r="BJ537">
            <v>2</v>
          </cell>
          <cell r="BK537">
            <v>0</v>
          </cell>
          <cell r="BL537">
            <v>0</v>
          </cell>
          <cell r="BM537"/>
          <cell r="BN537"/>
          <cell r="BO537"/>
          <cell r="BP537"/>
          <cell r="BQ537"/>
          <cell r="BR537"/>
          <cell r="BS537"/>
          <cell r="BT537"/>
          <cell r="BU537"/>
          <cell r="BV537"/>
          <cell r="BW537"/>
          <cell r="BX537"/>
          <cell r="BY537"/>
          <cell r="BZ537"/>
          <cell r="CA537"/>
          <cell r="CB537"/>
          <cell r="CC537"/>
          <cell r="CD537"/>
          <cell r="CE537"/>
          <cell r="CF537"/>
          <cell r="CG537"/>
          <cell r="CH537"/>
          <cell r="CI537"/>
          <cell r="CJ537"/>
          <cell r="CK537"/>
          <cell r="CL537"/>
          <cell r="CM537"/>
          <cell r="CN537"/>
          <cell r="CO537"/>
          <cell r="CP537"/>
          <cell r="CQ537"/>
        </row>
        <row r="538">
          <cell r="C538">
            <v>1036</v>
          </cell>
          <cell r="D538" t="str">
            <v>HQ505412</v>
          </cell>
          <cell r="E538" t="str">
            <v xml:space="preserve"> BRKT-A.B.S HU(A)</v>
          </cell>
          <cell r="F538" t="str">
            <v>ABS</v>
          </cell>
          <cell r="K538">
            <v>1</v>
          </cell>
          <cell r="M538">
            <v>1</v>
          </cell>
          <cell r="N538">
            <v>1</v>
          </cell>
          <cell r="O538">
            <v>1</v>
          </cell>
          <cell r="P538">
            <v>1</v>
          </cell>
          <cell r="Q538">
            <v>1</v>
          </cell>
          <cell r="W538">
            <v>1</v>
          </cell>
          <cell r="X538">
            <v>1</v>
          </cell>
          <cell r="AD538">
            <v>1</v>
          </cell>
          <cell r="AE538">
            <v>1</v>
          </cell>
          <cell r="AH538">
            <v>1</v>
          </cell>
          <cell r="AZ538" t="str">
            <v>B</v>
          </cell>
          <cell r="BA538" t="str">
            <v>진원</v>
          </cell>
          <cell r="BB538" t="str">
            <v>H50A14K</v>
          </cell>
          <cell r="BD538" t="str">
            <v>H988</v>
          </cell>
          <cell r="BI538">
            <v>684</v>
          </cell>
          <cell r="BJ538">
            <v>2</v>
          </cell>
          <cell r="BK538">
            <v>0</v>
          </cell>
          <cell r="BL538">
            <v>0</v>
          </cell>
          <cell r="BM538"/>
          <cell r="BN538"/>
          <cell r="BO538"/>
          <cell r="BP538"/>
          <cell r="BQ538"/>
          <cell r="BR538"/>
          <cell r="BS538"/>
          <cell r="BT538"/>
          <cell r="BU538"/>
          <cell r="BV538"/>
          <cell r="BW538"/>
          <cell r="BX538"/>
          <cell r="BY538"/>
          <cell r="BZ538"/>
          <cell r="CA538"/>
          <cell r="CB538"/>
          <cell r="CC538"/>
          <cell r="CD538"/>
          <cell r="CE538"/>
          <cell r="CF538"/>
          <cell r="CG538"/>
          <cell r="CH538"/>
          <cell r="CI538"/>
          <cell r="CJ538"/>
          <cell r="CK538"/>
          <cell r="CL538"/>
          <cell r="CM538"/>
          <cell r="CN538"/>
          <cell r="CO538"/>
          <cell r="CP538"/>
          <cell r="CQ538"/>
        </row>
        <row r="539">
          <cell r="C539">
            <v>1036</v>
          </cell>
          <cell r="D539" t="str">
            <v>HQ505414</v>
          </cell>
          <cell r="E539" t="str">
            <v xml:space="preserve"> BRKT-A.B.S HU(B)</v>
          </cell>
          <cell r="F539" t="str">
            <v>ABS</v>
          </cell>
          <cell r="K539">
            <v>1</v>
          </cell>
          <cell r="M539">
            <v>1</v>
          </cell>
          <cell r="N539">
            <v>1</v>
          </cell>
          <cell r="O539">
            <v>1</v>
          </cell>
          <cell r="P539">
            <v>1</v>
          </cell>
          <cell r="Q539">
            <v>1</v>
          </cell>
          <cell r="W539">
            <v>1</v>
          </cell>
          <cell r="X539">
            <v>1</v>
          </cell>
          <cell r="AD539">
            <v>1</v>
          </cell>
          <cell r="AE539">
            <v>1</v>
          </cell>
          <cell r="AH539">
            <v>1</v>
          </cell>
          <cell r="AZ539" t="str">
            <v>B</v>
          </cell>
          <cell r="BA539" t="str">
            <v>진원</v>
          </cell>
          <cell r="BB539" t="str">
            <v>H50A14K</v>
          </cell>
          <cell r="BD539" t="str">
            <v>H988</v>
          </cell>
          <cell r="BI539">
            <v>684</v>
          </cell>
          <cell r="BJ539">
            <v>2</v>
          </cell>
          <cell r="BK539">
            <v>0</v>
          </cell>
          <cell r="BL539">
            <v>0</v>
          </cell>
          <cell r="BM539"/>
          <cell r="BN539"/>
          <cell r="BO539"/>
          <cell r="BP539"/>
          <cell r="BQ539"/>
          <cell r="BR539"/>
          <cell r="BS539"/>
          <cell r="BT539"/>
          <cell r="BU539"/>
          <cell r="BV539"/>
          <cell r="BW539"/>
          <cell r="BX539"/>
          <cell r="BY539"/>
          <cell r="BZ539"/>
          <cell r="CA539"/>
          <cell r="CB539"/>
          <cell r="CC539"/>
          <cell r="CD539"/>
          <cell r="CE539"/>
          <cell r="CF539"/>
          <cell r="CG539"/>
          <cell r="CH539"/>
          <cell r="CI539"/>
          <cell r="CJ539"/>
          <cell r="CK539"/>
          <cell r="CL539"/>
          <cell r="CM539"/>
          <cell r="CN539"/>
          <cell r="CO539"/>
          <cell r="CP539"/>
          <cell r="CQ539"/>
        </row>
        <row r="540">
          <cell r="C540">
            <v>1036</v>
          </cell>
          <cell r="D540" t="str">
            <v>HQ505416</v>
          </cell>
          <cell r="E540" t="str">
            <v xml:space="preserve"> BRKT-A.B.S HU(C)</v>
          </cell>
          <cell r="F540" t="str">
            <v>ABS</v>
          </cell>
          <cell r="K540">
            <v>1</v>
          </cell>
          <cell r="M540">
            <v>1</v>
          </cell>
          <cell r="N540">
            <v>1</v>
          </cell>
          <cell r="O540">
            <v>1</v>
          </cell>
          <cell r="P540">
            <v>1</v>
          </cell>
          <cell r="Q540">
            <v>1</v>
          </cell>
          <cell r="W540">
            <v>1</v>
          </cell>
          <cell r="X540">
            <v>1</v>
          </cell>
          <cell r="AD540">
            <v>1</v>
          </cell>
          <cell r="AE540">
            <v>1</v>
          </cell>
          <cell r="AH540">
            <v>1</v>
          </cell>
          <cell r="AZ540" t="str">
            <v>B</v>
          </cell>
          <cell r="BA540" t="str">
            <v>진원</v>
          </cell>
          <cell r="BB540" t="str">
            <v>H50A14K</v>
          </cell>
          <cell r="BD540" t="str">
            <v>H988</v>
          </cell>
          <cell r="BI540">
            <v>684</v>
          </cell>
          <cell r="BJ540">
            <v>2</v>
          </cell>
          <cell r="BK540">
            <v>0</v>
          </cell>
          <cell r="BL540">
            <v>0</v>
          </cell>
          <cell r="BM540"/>
          <cell r="BN540"/>
          <cell r="BO540"/>
          <cell r="BP540"/>
          <cell r="BQ540"/>
          <cell r="BR540"/>
          <cell r="BS540"/>
          <cell r="BT540"/>
          <cell r="BU540"/>
          <cell r="BV540"/>
          <cell r="BW540"/>
          <cell r="BX540"/>
          <cell r="BY540"/>
          <cell r="BZ540"/>
          <cell r="CA540"/>
          <cell r="CB540"/>
          <cell r="CC540"/>
          <cell r="CD540"/>
          <cell r="CE540"/>
          <cell r="CF540"/>
          <cell r="CG540"/>
          <cell r="CH540"/>
          <cell r="CI540"/>
          <cell r="CJ540"/>
          <cell r="CK540"/>
          <cell r="CL540"/>
          <cell r="CM540"/>
          <cell r="CN540"/>
          <cell r="CO540"/>
          <cell r="CP540"/>
          <cell r="CQ540"/>
        </row>
        <row r="541">
          <cell r="C541">
            <v>130</v>
          </cell>
          <cell r="D541" t="str">
            <v>HQ505418</v>
          </cell>
          <cell r="E541" t="str">
            <v xml:space="preserve"> BRKT CANISTER MT'G</v>
          </cell>
          <cell r="W541">
            <v>1</v>
          </cell>
          <cell r="X541">
            <v>1</v>
          </cell>
          <cell r="AE541">
            <v>1</v>
          </cell>
          <cell r="AH541">
            <v>1</v>
          </cell>
          <cell r="AI541">
            <v>1</v>
          </cell>
          <cell r="AN541">
            <v>1</v>
          </cell>
          <cell r="AP541">
            <v>1</v>
          </cell>
          <cell r="AR541">
            <v>1</v>
          </cell>
          <cell r="AT541">
            <v>1</v>
          </cell>
          <cell r="AW541">
            <v>1</v>
          </cell>
          <cell r="AY541">
            <v>1</v>
          </cell>
          <cell r="AZ541" t="str">
            <v>B</v>
          </cell>
          <cell r="BA541" t="str">
            <v>진원</v>
          </cell>
          <cell r="BB541" t="str">
            <v>H50A14K</v>
          </cell>
          <cell r="BC541" t="str">
            <v>XB275898A</v>
          </cell>
          <cell r="BD541" t="str">
            <v>H988</v>
          </cell>
          <cell r="BI541">
            <v>0</v>
          </cell>
          <cell r="BJ541">
            <v>2</v>
          </cell>
          <cell r="BK541">
            <v>60</v>
          </cell>
          <cell r="BL541">
            <v>46</v>
          </cell>
          <cell r="BM541"/>
          <cell r="BN541"/>
          <cell r="BO541"/>
          <cell r="BP541"/>
          <cell r="BQ541"/>
          <cell r="BR541"/>
          <cell r="BS541"/>
          <cell r="BT541"/>
          <cell r="BU541"/>
          <cell r="BV541"/>
          <cell r="BW541"/>
          <cell r="BX541"/>
          <cell r="BY541"/>
          <cell r="BZ541"/>
          <cell r="CA541"/>
          <cell r="CB541"/>
          <cell r="CC541"/>
          <cell r="CD541"/>
          <cell r="CE541"/>
          <cell r="CF541"/>
          <cell r="CG541"/>
          <cell r="CH541"/>
          <cell r="CI541"/>
          <cell r="CJ541"/>
          <cell r="CK541"/>
          <cell r="CL541"/>
          <cell r="CM541"/>
          <cell r="CN541"/>
          <cell r="CO541"/>
          <cell r="CP541"/>
          <cell r="CQ541"/>
        </row>
        <row r="542">
          <cell r="C542">
            <v>2584</v>
          </cell>
          <cell r="D542" t="str">
            <v>HQ505422A</v>
          </cell>
          <cell r="E542" t="str">
            <v xml:space="preserve"> BRKT FUSIBLE LINK BOX(A)</v>
          </cell>
          <cell r="G542">
            <v>1</v>
          </cell>
          <cell r="AZ542" t="str">
            <v>B</v>
          </cell>
          <cell r="BA542" t="str">
            <v>진원</v>
          </cell>
          <cell r="BB542" t="str">
            <v>H50A14K</v>
          </cell>
          <cell r="BC542" t="str">
            <v>HC000027</v>
          </cell>
          <cell r="BD542" t="str">
            <v>H988</v>
          </cell>
          <cell r="BI542">
            <v>0</v>
          </cell>
          <cell r="BJ542">
            <v>0</v>
          </cell>
          <cell r="BK542">
            <v>0</v>
          </cell>
          <cell r="BL542">
            <v>0</v>
          </cell>
          <cell r="BM542"/>
          <cell r="BN542"/>
          <cell r="BO542"/>
          <cell r="BP542"/>
          <cell r="BQ542"/>
          <cell r="BR542"/>
          <cell r="BS542"/>
          <cell r="BT542"/>
          <cell r="BU542"/>
          <cell r="BV542"/>
          <cell r="BW542"/>
          <cell r="BX542"/>
          <cell r="BY542"/>
          <cell r="BZ542"/>
          <cell r="CA542"/>
          <cell r="CB542"/>
          <cell r="CC542"/>
          <cell r="CD542"/>
          <cell r="CE542"/>
          <cell r="CF542"/>
          <cell r="CG542"/>
          <cell r="CH542"/>
          <cell r="CI542"/>
          <cell r="CJ542"/>
        </row>
        <row r="543">
          <cell r="C543">
            <v>2453</v>
          </cell>
          <cell r="D543" t="str">
            <v>HQ505424</v>
          </cell>
          <cell r="E543" t="str">
            <v xml:space="preserve"> BRKT FUSIBLE LINK BOX(B)</v>
          </cell>
          <cell r="F543" t="str">
            <v>-271A</v>
          </cell>
          <cell r="H543">
            <v>1</v>
          </cell>
          <cell r="I543">
            <v>1</v>
          </cell>
          <cell r="J543">
            <v>1</v>
          </cell>
          <cell r="K543">
            <v>1</v>
          </cell>
          <cell r="L543">
            <v>1</v>
          </cell>
          <cell r="M543">
            <v>1</v>
          </cell>
          <cell r="N543">
            <v>1</v>
          </cell>
          <cell r="O543">
            <v>1</v>
          </cell>
          <cell r="P543">
            <v>1</v>
          </cell>
          <cell r="Q543">
            <v>1</v>
          </cell>
          <cell r="R543">
            <v>1</v>
          </cell>
          <cell r="S543">
            <v>1</v>
          </cell>
          <cell r="T543">
            <v>1</v>
          </cell>
          <cell r="U543">
            <v>1</v>
          </cell>
          <cell r="V543">
            <v>1</v>
          </cell>
          <cell r="Y543">
            <v>1</v>
          </cell>
          <cell r="Z543">
            <v>1</v>
          </cell>
          <cell r="AA543">
            <v>1</v>
          </cell>
          <cell r="AB543">
            <v>1</v>
          </cell>
          <cell r="AC543">
            <v>1</v>
          </cell>
          <cell r="AD543">
            <v>1</v>
          </cell>
          <cell r="AF543">
            <v>1</v>
          </cell>
          <cell r="AG543">
            <v>1</v>
          </cell>
          <cell r="AH543"/>
          <cell r="AI543"/>
          <cell r="AJ543">
            <v>1</v>
          </cell>
          <cell r="AK543"/>
          <cell r="AL543">
            <v>1</v>
          </cell>
          <cell r="AM543">
            <v>1</v>
          </cell>
          <cell r="AN543"/>
          <cell r="AO543">
            <v>1</v>
          </cell>
          <cell r="AP543"/>
          <cell r="AQ543">
            <v>1</v>
          </cell>
          <cell r="AR543"/>
          <cell r="AS543">
            <v>1</v>
          </cell>
          <cell r="AT543"/>
          <cell r="AU543">
            <v>1</v>
          </cell>
          <cell r="AV543">
            <v>1</v>
          </cell>
          <cell r="AW543"/>
          <cell r="AX543"/>
          <cell r="AY543"/>
          <cell r="AZ543" t="str">
            <v>B</v>
          </cell>
          <cell r="BA543" t="str">
            <v>진원</v>
          </cell>
          <cell r="BB543" t="str">
            <v>H50A14K</v>
          </cell>
          <cell r="BC543"/>
          <cell r="BD543" t="str">
            <v>H988</v>
          </cell>
          <cell r="BE543"/>
          <cell r="BF543"/>
          <cell r="BG543"/>
          <cell r="BH543"/>
          <cell r="BI543">
            <v>937</v>
          </cell>
          <cell r="BJ543">
            <v>995</v>
          </cell>
          <cell r="BK543">
            <v>57</v>
          </cell>
          <cell r="BL543">
            <v>56</v>
          </cell>
          <cell r="BM543"/>
          <cell r="BN543"/>
          <cell r="BO543"/>
          <cell r="BP543"/>
          <cell r="BQ543"/>
          <cell r="BR543"/>
          <cell r="BS543"/>
          <cell r="BT543"/>
          <cell r="BU543"/>
          <cell r="BV543"/>
          <cell r="BW543"/>
          <cell r="BX543"/>
          <cell r="BY543"/>
          <cell r="BZ543"/>
          <cell r="CA543"/>
          <cell r="CB543"/>
          <cell r="CC543"/>
          <cell r="CD543"/>
          <cell r="CE543"/>
          <cell r="CF543"/>
          <cell r="CG543"/>
          <cell r="CH543"/>
          <cell r="CI543"/>
          <cell r="CJ543"/>
          <cell r="CK543"/>
          <cell r="CL543"/>
          <cell r="CM543"/>
          <cell r="CN543"/>
          <cell r="CO543"/>
          <cell r="CP543"/>
        </row>
        <row r="544">
          <cell r="C544">
            <v>130</v>
          </cell>
          <cell r="D544" t="str">
            <v>HQ505426</v>
          </cell>
          <cell r="E544" t="str">
            <v xml:space="preserve"> BRKT POWER STR'G OIL RSVR</v>
          </cell>
          <cell r="W544">
            <v>1</v>
          </cell>
          <cell r="X544">
            <v>1</v>
          </cell>
          <cell r="AE544">
            <v>1</v>
          </cell>
          <cell r="AH544">
            <v>1</v>
          </cell>
          <cell r="AI544">
            <v>1</v>
          </cell>
          <cell r="AN544">
            <v>1</v>
          </cell>
          <cell r="AP544">
            <v>1</v>
          </cell>
          <cell r="AR544">
            <v>1</v>
          </cell>
          <cell r="AT544">
            <v>1</v>
          </cell>
          <cell r="AW544">
            <v>1</v>
          </cell>
          <cell r="AY544">
            <v>1</v>
          </cell>
          <cell r="AZ544" t="str">
            <v>B</v>
          </cell>
          <cell r="BA544" t="str">
            <v>진원</v>
          </cell>
          <cell r="BB544" t="str">
            <v>H50A14K</v>
          </cell>
          <cell r="BD544" t="str">
            <v>H988</v>
          </cell>
          <cell r="BI544">
            <v>0</v>
          </cell>
          <cell r="BJ544">
            <v>2</v>
          </cell>
          <cell r="BK544">
            <v>60</v>
          </cell>
          <cell r="BL544">
            <v>46</v>
          </cell>
          <cell r="BM544"/>
          <cell r="BN544"/>
          <cell r="BO544"/>
          <cell r="BP544"/>
          <cell r="BQ544"/>
          <cell r="BR544"/>
          <cell r="BS544"/>
          <cell r="BT544"/>
          <cell r="BU544"/>
          <cell r="BV544"/>
          <cell r="BW544"/>
          <cell r="BX544"/>
          <cell r="BY544"/>
          <cell r="BZ544"/>
          <cell r="CA544"/>
          <cell r="CB544"/>
          <cell r="CC544"/>
          <cell r="CD544"/>
          <cell r="CE544"/>
          <cell r="CF544"/>
          <cell r="CG544"/>
          <cell r="CH544"/>
          <cell r="CI544"/>
          <cell r="CJ544"/>
          <cell r="CK544"/>
          <cell r="CL544"/>
          <cell r="CM544"/>
          <cell r="CN544"/>
          <cell r="CO544"/>
          <cell r="CP544"/>
          <cell r="CQ544"/>
        </row>
        <row r="545">
          <cell r="C545">
            <v>1294</v>
          </cell>
          <cell r="D545" t="str">
            <v>HQ505428</v>
          </cell>
          <cell r="E545" t="str">
            <v xml:space="preserve"> BRKT CONNECTOR</v>
          </cell>
          <cell r="F545" t="str">
            <v>+581A</v>
          </cell>
          <cell r="K545">
            <v>1</v>
          </cell>
          <cell r="M545">
            <v>1</v>
          </cell>
          <cell r="N545">
            <v>1</v>
          </cell>
          <cell r="O545">
            <v>1</v>
          </cell>
          <cell r="P545">
            <v>1</v>
          </cell>
          <cell r="Q545">
            <v>1</v>
          </cell>
          <cell r="T545">
            <v>1</v>
          </cell>
          <cell r="W545">
            <v>1</v>
          </cell>
          <cell r="X545">
            <v>1</v>
          </cell>
          <cell r="AD545">
            <v>1</v>
          </cell>
          <cell r="AE545">
            <v>1</v>
          </cell>
          <cell r="AH545">
            <v>1</v>
          </cell>
          <cell r="AZ545" t="str">
            <v>B</v>
          </cell>
          <cell r="BA545" t="str">
            <v>진원</v>
          </cell>
          <cell r="BB545" t="str">
            <v>H50A14K</v>
          </cell>
          <cell r="BD545" t="str">
            <v>H988</v>
          </cell>
          <cell r="BI545">
            <v>684</v>
          </cell>
          <cell r="BJ545">
            <v>237</v>
          </cell>
          <cell r="BK545">
            <v>0</v>
          </cell>
          <cell r="BL545">
            <v>0</v>
          </cell>
          <cell r="BM545"/>
          <cell r="BN545"/>
          <cell r="BO545"/>
          <cell r="BP545"/>
          <cell r="BQ545"/>
          <cell r="BR545"/>
          <cell r="BS545"/>
          <cell r="BT545"/>
          <cell r="BU545"/>
          <cell r="BV545"/>
          <cell r="BW545"/>
          <cell r="BX545"/>
          <cell r="BY545"/>
          <cell r="BZ545"/>
          <cell r="CA545"/>
          <cell r="CB545"/>
          <cell r="CC545"/>
          <cell r="CD545"/>
          <cell r="CE545"/>
          <cell r="CF545"/>
          <cell r="CG545"/>
          <cell r="CH545"/>
          <cell r="CI545"/>
          <cell r="CJ545"/>
          <cell r="CK545"/>
          <cell r="CL545"/>
          <cell r="CM545"/>
          <cell r="CN545"/>
          <cell r="CO545"/>
          <cell r="CP545"/>
          <cell r="CQ545"/>
        </row>
        <row r="546">
          <cell r="C546">
            <v>2583</v>
          </cell>
          <cell r="D546" t="str">
            <v>HQ505515</v>
          </cell>
          <cell r="E546" t="str">
            <v xml:space="preserve"> BRKT OIL COOLER</v>
          </cell>
          <cell r="F546" t="str">
            <v>2.6제외</v>
          </cell>
          <cell r="H546">
            <v>1</v>
          </cell>
          <cell r="I546">
            <v>1</v>
          </cell>
          <cell r="J546">
            <v>1</v>
          </cell>
          <cell r="K546">
            <v>1</v>
          </cell>
          <cell r="L546">
            <v>1</v>
          </cell>
          <cell r="M546">
            <v>1</v>
          </cell>
          <cell r="N546">
            <v>1</v>
          </cell>
          <cell r="O546">
            <v>1</v>
          </cell>
          <cell r="P546">
            <v>1</v>
          </cell>
          <cell r="Q546">
            <v>1</v>
          </cell>
          <cell r="R546">
            <v>1</v>
          </cell>
          <cell r="S546">
            <v>1</v>
          </cell>
          <cell r="T546">
            <v>1</v>
          </cell>
          <cell r="U546">
            <v>1</v>
          </cell>
          <cell r="V546">
            <v>1</v>
          </cell>
          <cell r="W546">
            <v>1</v>
          </cell>
          <cell r="X546">
            <v>1</v>
          </cell>
          <cell r="Y546">
            <v>1</v>
          </cell>
          <cell r="Z546">
            <v>1</v>
          </cell>
          <cell r="AA546">
            <v>1</v>
          </cell>
          <cell r="AB546">
            <v>1</v>
          </cell>
          <cell r="AC546">
            <v>1</v>
          </cell>
          <cell r="AD546">
            <v>1</v>
          </cell>
          <cell r="AE546">
            <v>1</v>
          </cell>
          <cell r="AF546">
            <v>1</v>
          </cell>
          <cell r="AG546">
            <v>1</v>
          </cell>
          <cell r="AH546">
            <v>1</v>
          </cell>
          <cell r="AI546">
            <v>1</v>
          </cell>
          <cell r="AJ546">
            <v>1</v>
          </cell>
          <cell r="AK546"/>
          <cell r="AL546">
            <v>1</v>
          </cell>
          <cell r="AM546">
            <v>1</v>
          </cell>
          <cell r="AN546">
            <v>1</v>
          </cell>
          <cell r="AO546">
            <v>1</v>
          </cell>
          <cell r="AP546">
            <v>1</v>
          </cell>
          <cell r="AQ546">
            <v>1</v>
          </cell>
          <cell r="AR546">
            <v>1</v>
          </cell>
          <cell r="AS546">
            <v>1</v>
          </cell>
          <cell r="AT546">
            <v>1</v>
          </cell>
          <cell r="AU546">
            <v>1</v>
          </cell>
          <cell r="AV546">
            <v>1</v>
          </cell>
          <cell r="AW546">
            <v>1</v>
          </cell>
          <cell r="AY546">
            <v>1</v>
          </cell>
          <cell r="AZ546" t="str">
            <v>B</v>
          </cell>
          <cell r="BA546" t="str">
            <v>진원</v>
          </cell>
          <cell r="BB546" t="str">
            <v>H50A15K</v>
          </cell>
          <cell r="BC546" t="str">
            <v>MB351507A</v>
          </cell>
          <cell r="BD546" t="str">
            <v>H988</v>
          </cell>
          <cell r="BI546">
            <v>937</v>
          </cell>
          <cell r="BJ546">
            <v>997</v>
          </cell>
          <cell r="BK546">
            <v>117</v>
          </cell>
          <cell r="BL546">
            <v>102</v>
          </cell>
          <cell r="BM546"/>
          <cell r="BN546"/>
          <cell r="BO546"/>
          <cell r="BP546"/>
          <cell r="BQ546"/>
          <cell r="BR546"/>
          <cell r="BS546"/>
          <cell r="BT546"/>
          <cell r="BU546"/>
          <cell r="BV546"/>
          <cell r="BW546"/>
          <cell r="BX546"/>
          <cell r="BY546"/>
          <cell r="BZ546"/>
          <cell r="CA546"/>
          <cell r="CB546"/>
          <cell r="CC546"/>
          <cell r="CD546"/>
          <cell r="CE546"/>
          <cell r="CF546"/>
          <cell r="CG546"/>
          <cell r="CH546"/>
          <cell r="CI546"/>
          <cell r="CJ546"/>
        </row>
        <row r="547">
          <cell r="C547">
            <v>2584</v>
          </cell>
          <cell r="D547" t="str">
            <v>HQ505813</v>
          </cell>
          <cell r="E547" t="str">
            <v xml:space="preserve"> BRKT RELAY MT'G</v>
          </cell>
          <cell r="G547">
            <v>1</v>
          </cell>
          <cell r="AZ547" t="str">
            <v>B</v>
          </cell>
          <cell r="BA547" t="str">
            <v>진원</v>
          </cell>
          <cell r="BB547" t="str">
            <v>H50A18K</v>
          </cell>
          <cell r="BD547" t="str">
            <v>H988</v>
          </cell>
          <cell r="BI547">
            <v>0</v>
          </cell>
          <cell r="BJ547">
            <v>0</v>
          </cell>
          <cell r="BK547">
            <v>0</v>
          </cell>
          <cell r="BL547">
            <v>0</v>
          </cell>
          <cell r="BM547"/>
          <cell r="BN547"/>
          <cell r="BO547"/>
          <cell r="BP547"/>
          <cell r="BQ547"/>
          <cell r="BR547"/>
          <cell r="BS547"/>
          <cell r="BT547"/>
          <cell r="BU547"/>
          <cell r="BV547"/>
          <cell r="BW547"/>
          <cell r="BX547"/>
          <cell r="BY547"/>
          <cell r="BZ547"/>
          <cell r="CA547"/>
          <cell r="CB547"/>
          <cell r="CC547"/>
          <cell r="CD547"/>
          <cell r="CE547"/>
          <cell r="CF547"/>
          <cell r="CG547"/>
          <cell r="CH547"/>
          <cell r="CI547"/>
          <cell r="CJ547"/>
        </row>
        <row r="548">
          <cell r="C548">
            <v>2025</v>
          </cell>
          <cell r="D548" t="str">
            <v>HQ614312</v>
          </cell>
          <cell r="E548" t="str">
            <v xml:space="preserve"> BRKT FLR CONSOLE</v>
          </cell>
          <cell r="J548">
            <v>1</v>
          </cell>
          <cell r="K548">
            <v>1</v>
          </cell>
          <cell r="L548">
            <v>1</v>
          </cell>
          <cell r="M548">
            <v>1</v>
          </cell>
          <cell r="N548">
            <v>1</v>
          </cell>
          <cell r="O548">
            <v>1</v>
          </cell>
          <cell r="P548">
            <v>1</v>
          </cell>
          <cell r="Q548">
            <v>1</v>
          </cell>
          <cell r="S548">
            <v>1</v>
          </cell>
          <cell r="T548">
            <v>1</v>
          </cell>
          <cell r="U548">
            <v>1</v>
          </cell>
          <cell r="V548">
            <v>1</v>
          </cell>
          <cell r="W548">
            <v>1</v>
          </cell>
          <cell r="X548">
            <v>1</v>
          </cell>
          <cell r="Y548">
            <v>1</v>
          </cell>
          <cell r="Z548">
            <v>1</v>
          </cell>
          <cell r="AA548">
            <v>1</v>
          </cell>
          <cell r="AC548">
            <v>1</v>
          </cell>
          <cell r="AD548">
            <v>1</v>
          </cell>
          <cell r="AE548">
            <v>1</v>
          </cell>
          <cell r="AH548">
            <v>1</v>
          </cell>
          <cell r="AI548">
            <v>1</v>
          </cell>
          <cell r="AJ548">
            <v>1</v>
          </cell>
          <cell r="AK548">
            <v>1</v>
          </cell>
          <cell r="AL548">
            <v>1</v>
          </cell>
          <cell r="AM548">
            <v>1</v>
          </cell>
          <cell r="AN548">
            <v>1</v>
          </cell>
          <cell r="AO548">
            <v>1</v>
          </cell>
          <cell r="AP548">
            <v>1</v>
          </cell>
          <cell r="AQ548">
            <v>1</v>
          </cell>
          <cell r="AR548">
            <v>1</v>
          </cell>
          <cell r="AS548">
            <v>1</v>
          </cell>
          <cell r="AT548">
            <v>1</v>
          </cell>
          <cell r="AU548">
            <v>1</v>
          </cell>
          <cell r="AV548">
            <v>1</v>
          </cell>
          <cell r="AW548">
            <v>1</v>
          </cell>
          <cell r="AX548">
            <v>1</v>
          </cell>
          <cell r="AY548">
            <v>1</v>
          </cell>
          <cell r="AZ548" t="str">
            <v>T</v>
          </cell>
          <cell r="BA548" t="str">
            <v>진원</v>
          </cell>
          <cell r="BB548" t="str">
            <v>H61D12K</v>
          </cell>
          <cell r="BD548" t="str">
            <v>H988</v>
          </cell>
          <cell r="BI548" t="e">
            <v>#REF!</v>
          </cell>
          <cell r="BJ548" t="e">
            <v>#REF!</v>
          </cell>
          <cell r="BK548" t="e">
            <v>#REF!</v>
          </cell>
          <cell r="BL548" t="e">
            <v>#REF!</v>
          </cell>
          <cell r="BM548"/>
          <cell r="BN548"/>
          <cell r="BO548"/>
          <cell r="BP548"/>
          <cell r="BQ548"/>
          <cell r="BR548"/>
          <cell r="BS548"/>
          <cell r="BT548"/>
          <cell r="BU548"/>
          <cell r="BV548"/>
          <cell r="BW548"/>
          <cell r="BX548"/>
          <cell r="BY548"/>
          <cell r="BZ548"/>
          <cell r="CA548"/>
          <cell r="CB548"/>
          <cell r="CC548"/>
          <cell r="CD548"/>
          <cell r="CE548"/>
          <cell r="CF548"/>
          <cell r="CG548"/>
          <cell r="CH548"/>
          <cell r="CI548"/>
          <cell r="CJ548"/>
          <cell r="CK548"/>
          <cell r="CL548"/>
          <cell r="CM548"/>
          <cell r="CN548"/>
          <cell r="CO548"/>
          <cell r="CP548"/>
          <cell r="CQ548"/>
        </row>
        <row r="549">
          <cell r="C549">
            <v>1887</v>
          </cell>
          <cell r="D549" t="str">
            <v>MB227221A</v>
          </cell>
          <cell r="E549" t="str">
            <v xml:space="preserve"> HINGE,DR LWR LH</v>
          </cell>
          <cell r="I549">
            <v>1</v>
          </cell>
          <cell r="J549">
            <v>1</v>
          </cell>
          <cell r="K549">
            <v>1</v>
          </cell>
          <cell r="O549">
            <v>1</v>
          </cell>
          <cell r="Q549">
            <v>1</v>
          </cell>
          <cell r="S549">
            <v>1</v>
          </cell>
          <cell r="T549">
            <v>1</v>
          </cell>
          <cell r="V549">
            <v>1</v>
          </cell>
          <cell r="X549">
            <v>1</v>
          </cell>
          <cell r="Y549">
            <v>1</v>
          </cell>
          <cell r="Z549">
            <v>1</v>
          </cell>
          <cell r="AA549">
            <v>1</v>
          </cell>
          <cell r="AE549">
            <v>1</v>
          </cell>
          <cell r="AG549">
            <v>1</v>
          </cell>
          <cell r="AI549">
            <v>1</v>
          </cell>
          <cell r="AJ549">
            <v>1</v>
          </cell>
          <cell r="AK549">
            <v>1</v>
          </cell>
          <cell r="AN549">
            <v>1</v>
          </cell>
          <cell r="AQ549">
            <v>1</v>
          </cell>
          <cell r="AS549">
            <v>1</v>
          </cell>
          <cell r="AT549">
            <v>1</v>
          </cell>
          <cell r="AU549">
            <v>1</v>
          </cell>
          <cell r="AV549">
            <v>1</v>
          </cell>
          <cell r="AX549">
            <v>1</v>
          </cell>
          <cell r="AY549">
            <v>1</v>
          </cell>
          <cell r="AZ549" t="str">
            <v>B</v>
          </cell>
          <cell r="BA549" t="str">
            <v>평화정공</v>
          </cell>
          <cell r="BB549" t="str">
            <v>H50B32K</v>
          </cell>
          <cell r="BD549" t="str">
            <v>L741</v>
          </cell>
          <cell r="BI549">
            <v>888</v>
          </cell>
          <cell r="BJ549">
            <v>458</v>
          </cell>
          <cell r="BK549">
            <v>97</v>
          </cell>
          <cell r="BL549">
            <v>88</v>
          </cell>
          <cell r="BM549"/>
          <cell r="BN549"/>
          <cell r="BO549"/>
          <cell r="BP549"/>
          <cell r="BQ549"/>
          <cell r="BR549"/>
          <cell r="BS549"/>
          <cell r="BT549"/>
          <cell r="BU549"/>
          <cell r="BV549"/>
          <cell r="BW549"/>
          <cell r="BX549"/>
          <cell r="BY549"/>
          <cell r="BZ549"/>
          <cell r="CA549"/>
          <cell r="CB549"/>
          <cell r="CC549"/>
          <cell r="CD549"/>
          <cell r="CE549"/>
          <cell r="CF549"/>
          <cell r="CG549"/>
          <cell r="CH549"/>
          <cell r="CI549"/>
          <cell r="CJ549"/>
          <cell r="CK549"/>
          <cell r="CL549"/>
          <cell r="CM549"/>
          <cell r="CN549"/>
          <cell r="CO549"/>
          <cell r="CP549"/>
          <cell r="CQ549"/>
        </row>
        <row r="550">
          <cell r="C550">
            <v>2584</v>
          </cell>
          <cell r="D550" t="str">
            <v>MB227221A</v>
          </cell>
          <cell r="E550" t="str">
            <v xml:space="preserve"> HINGE,DR LWR LH</v>
          </cell>
          <cell r="G550">
            <v>1</v>
          </cell>
          <cell r="AZ550" t="str">
            <v>B</v>
          </cell>
          <cell r="BA550" t="str">
            <v>평화정공</v>
          </cell>
          <cell r="BB550" t="str">
            <v>H50B31K</v>
          </cell>
          <cell r="BD550" t="str">
            <v>L741</v>
          </cell>
          <cell r="BE550" t="str">
            <v>ALL</v>
          </cell>
          <cell r="BI550">
            <v>0</v>
          </cell>
          <cell r="BJ550">
            <v>0</v>
          </cell>
          <cell r="BK550">
            <v>0</v>
          </cell>
          <cell r="BL550">
            <v>0</v>
          </cell>
          <cell r="BM550"/>
          <cell r="BN550"/>
          <cell r="BO550"/>
          <cell r="BP550"/>
          <cell r="BQ550"/>
          <cell r="BR550"/>
          <cell r="BS550"/>
          <cell r="BT550"/>
          <cell r="BU550"/>
          <cell r="BV550"/>
          <cell r="BW550"/>
          <cell r="BX550"/>
          <cell r="BY550"/>
          <cell r="BZ550"/>
          <cell r="CA550"/>
          <cell r="CB550"/>
          <cell r="CC550"/>
          <cell r="CD550"/>
          <cell r="CE550"/>
          <cell r="CF550"/>
          <cell r="CG550"/>
          <cell r="CH550"/>
          <cell r="CI550"/>
          <cell r="CJ550"/>
          <cell r="CK550"/>
        </row>
        <row r="551">
          <cell r="C551">
            <v>1887</v>
          </cell>
          <cell r="D551" t="str">
            <v>MB227222A</v>
          </cell>
          <cell r="E551" t="str">
            <v xml:space="preserve"> HINGE,DR LWR RH</v>
          </cell>
          <cell r="I551">
            <v>1</v>
          </cell>
          <cell r="J551">
            <v>1</v>
          </cell>
          <cell r="K551">
            <v>1</v>
          </cell>
          <cell r="O551">
            <v>1</v>
          </cell>
          <cell r="Q551">
            <v>1</v>
          </cell>
          <cell r="S551">
            <v>1</v>
          </cell>
          <cell r="T551">
            <v>1</v>
          </cell>
          <cell r="V551">
            <v>1</v>
          </cell>
          <cell r="X551">
            <v>1</v>
          </cell>
          <cell r="Y551">
            <v>1</v>
          </cell>
          <cell r="Z551">
            <v>1</v>
          </cell>
          <cell r="AA551">
            <v>1</v>
          </cell>
          <cell r="AE551">
            <v>1</v>
          </cell>
          <cell r="AG551">
            <v>1</v>
          </cell>
          <cell r="AI551">
            <v>1</v>
          </cell>
          <cell r="AJ551">
            <v>1</v>
          </cell>
          <cell r="AK551">
            <v>1</v>
          </cell>
          <cell r="AN551">
            <v>1</v>
          </cell>
          <cell r="AQ551">
            <v>1</v>
          </cell>
          <cell r="AS551">
            <v>1</v>
          </cell>
          <cell r="AT551">
            <v>1</v>
          </cell>
          <cell r="AU551">
            <v>1</v>
          </cell>
          <cell r="AV551">
            <v>1</v>
          </cell>
          <cell r="AX551">
            <v>1</v>
          </cell>
          <cell r="AY551">
            <v>1</v>
          </cell>
          <cell r="AZ551" t="str">
            <v>B</v>
          </cell>
          <cell r="BA551" t="str">
            <v>평화정공</v>
          </cell>
          <cell r="BB551" t="str">
            <v>H50B32K</v>
          </cell>
          <cell r="BD551" t="str">
            <v>L741</v>
          </cell>
          <cell r="BI551">
            <v>888</v>
          </cell>
          <cell r="BJ551">
            <v>458</v>
          </cell>
          <cell r="BK551">
            <v>97</v>
          </cell>
          <cell r="BL551">
            <v>88</v>
          </cell>
          <cell r="BM551"/>
          <cell r="BN551"/>
          <cell r="BO551"/>
          <cell r="BP551"/>
          <cell r="BQ551"/>
          <cell r="BR551"/>
          <cell r="BS551"/>
          <cell r="BT551"/>
          <cell r="BU551"/>
          <cell r="BV551"/>
          <cell r="BW551"/>
          <cell r="BX551"/>
          <cell r="BY551"/>
          <cell r="BZ551"/>
          <cell r="CA551"/>
          <cell r="CB551"/>
          <cell r="CC551"/>
          <cell r="CD551"/>
          <cell r="CE551"/>
          <cell r="CF551"/>
          <cell r="CG551"/>
          <cell r="CH551"/>
          <cell r="CI551"/>
          <cell r="CJ551"/>
          <cell r="CK551"/>
          <cell r="CL551"/>
          <cell r="CM551"/>
          <cell r="CN551"/>
          <cell r="CO551"/>
          <cell r="CP551"/>
          <cell r="CQ551"/>
        </row>
        <row r="552">
          <cell r="C552">
            <v>2584</v>
          </cell>
          <cell r="D552" t="str">
            <v>MB227222A</v>
          </cell>
          <cell r="E552" t="str">
            <v xml:space="preserve"> HINGE,DR LWR RH</v>
          </cell>
          <cell r="G552">
            <v>1</v>
          </cell>
          <cell r="AZ552" t="str">
            <v>B</v>
          </cell>
          <cell r="BA552" t="str">
            <v>평화정공</v>
          </cell>
          <cell r="BB552" t="str">
            <v>H50B31K</v>
          </cell>
          <cell r="BD552" t="str">
            <v>L741</v>
          </cell>
          <cell r="BE552" t="str">
            <v>ALL</v>
          </cell>
          <cell r="BI552">
            <v>0</v>
          </cell>
          <cell r="BJ552">
            <v>0</v>
          </cell>
          <cell r="BK552">
            <v>0</v>
          </cell>
          <cell r="BL552">
            <v>0</v>
          </cell>
          <cell r="BM552"/>
          <cell r="BN552"/>
          <cell r="BO552"/>
          <cell r="BP552"/>
          <cell r="BQ552"/>
          <cell r="BR552"/>
          <cell r="BS552"/>
          <cell r="BT552"/>
          <cell r="BU552"/>
          <cell r="BV552"/>
          <cell r="BW552"/>
          <cell r="BX552"/>
          <cell r="BY552"/>
          <cell r="BZ552"/>
          <cell r="CA552"/>
          <cell r="CB552"/>
          <cell r="CC552"/>
          <cell r="CD552"/>
          <cell r="CE552"/>
          <cell r="CF552"/>
          <cell r="CG552"/>
          <cell r="CH552"/>
          <cell r="CI552"/>
          <cell r="CJ552"/>
          <cell r="CK552"/>
        </row>
        <row r="553">
          <cell r="C553">
            <v>1887</v>
          </cell>
          <cell r="D553" t="str">
            <v>MB227223A</v>
          </cell>
          <cell r="E553" t="str">
            <v xml:space="preserve"> HINGE,DR UPR LH</v>
          </cell>
          <cell r="I553">
            <v>1</v>
          </cell>
          <cell r="J553">
            <v>1</v>
          </cell>
          <cell r="K553">
            <v>1</v>
          </cell>
          <cell r="O553">
            <v>1</v>
          </cell>
          <cell r="Q553">
            <v>1</v>
          </cell>
          <cell r="S553">
            <v>1</v>
          </cell>
          <cell r="T553">
            <v>1</v>
          </cell>
          <cell r="V553">
            <v>1</v>
          </cell>
          <cell r="X553">
            <v>1</v>
          </cell>
          <cell r="Y553">
            <v>1</v>
          </cell>
          <cell r="Z553">
            <v>1</v>
          </cell>
          <cell r="AA553">
            <v>1</v>
          </cell>
          <cell r="AE553">
            <v>1</v>
          </cell>
          <cell r="AG553">
            <v>1</v>
          </cell>
          <cell r="AI553">
            <v>1</v>
          </cell>
          <cell r="AJ553">
            <v>1</v>
          </cell>
          <cell r="AK553">
            <v>1</v>
          </cell>
          <cell r="AN553">
            <v>1</v>
          </cell>
          <cell r="AQ553">
            <v>1</v>
          </cell>
          <cell r="AS553">
            <v>1</v>
          </cell>
          <cell r="AT553">
            <v>1</v>
          </cell>
          <cell r="AU553">
            <v>1</v>
          </cell>
          <cell r="AV553">
            <v>1</v>
          </cell>
          <cell r="AX553">
            <v>1</v>
          </cell>
          <cell r="AY553">
            <v>1</v>
          </cell>
          <cell r="AZ553" t="str">
            <v>B</v>
          </cell>
          <cell r="BA553" t="str">
            <v>평화정공</v>
          </cell>
          <cell r="BB553" t="str">
            <v>H50B32K</v>
          </cell>
          <cell r="BD553" t="str">
            <v>L741</v>
          </cell>
          <cell r="BI553">
            <v>888</v>
          </cell>
          <cell r="BJ553">
            <v>458</v>
          </cell>
          <cell r="BK553">
            <v>97</v>
          </cell>
          <cell r="BL553">
            <v>88</v>
          </cell>
          <cell r="BM553"/>
          <cell r="BN553"/>
          <cell r="BO553"/>
          <cell r="BP553"/>
          <cell r="BQ553"/>
          <cell r="BR553"/>
          <cell r="BS553"/>
          <cell r="BT553"/>
          <cell r="BU553"/>
          <cell r="BV553"/>
          <cell r="BW553"/>
          <cell r="BX553"/>
          <cell r="BY553"/>
          <cell r="BZ553"/>
          <cell r="CA553"/>
          <cell r="CB553"/>
          <cell r="CC553"/>
          <cell r="CD553"/>
          <cell r="CE553"/>
          <cell r="CF553"/>
          <cell r="CG553"/>
          <cell r="CH553"/>
          <cell r="CI553"/>
          <cell r="CJ553"/>
          <cell r="CK553"/>
          <cell r="CL553"/>
          <cell r="CM553"/>
          <cell r="CN553"/>
          <cell r="CO553"/>
          <cell r="CP553"/>
          <cell r="CQ553"/>
        </row>
        <row r="554">
          <cell r="C554">
            <v>2584</v>
          </cell>
          <cell r="D554" t="str">
            <v>MB227223A</v>
          </cell>
          <cell r="E554" t="str">
            <v xml:space="preserve"> HINGE,DR UPR LH</v>
          </cell>
          <cell r="G554">
            <v>1</v>
          </cell>
          <cell r="AZ554" t="str">
            <v>B</v>
          </cell>
          <cell r="BA554" t="str">
            <v>평화정공</v>
          </cell>
          <cell r="BB554" t="str">
            <v>H50B31K</v>
          </cell>
          <cell r="BD554" t="str">
            <v>L741</v>
          </cell>
          <cell r="BE554" t="str">
            <v>ALL</v>
          </cell>
          <cell r="BI554">
            <v>0</v>
          </cell>
          <cell r="BJ554">
            <v>0</v>
          </cell>
          <cell r="BK554">
            <v>0</v>
          </cell>
          <cell r="BL554">
            <v>0</v>
          </cell>
          <cell r="BM554"/>
          <cell r="BN554"/>
          <cell r="BO554"/>
          <cell r="BP554"/>
          <cell r="BQ554"/>
          <cell r="BR554"/>
          <cell r="BS554"/>
          <cell r="BT554"/>
          <cell r="BU554"/>
          <cell r="BV554"/>
          <cell r="BW554"/>
          <cell r="BX554"/>
          <cell r="BY554"/>
          <cell r="BZ554"/>
          <cell r="CA554"/>
          <cell r="CB554"/>
          <cell r="CC554"/>
          <cell r="CD554"/>
          <cell r="CE554"/>
          <cell r="CF554"/>
          <cell r="CG554"/>
          <cell r="CH554"/>
          <cell r="CI554"/>
          <cell r="CJ554"/>
          <cell r="CK554"/>
        </row>
        <row r="555">
          <cell r="C555">
            <v>1887</v>
          </cell>
          <cell r="D555" t="str">
            <v>MB227224A</v>
          </cell>
          <cell r="E555" t="str">
            <v xml:space="preserve"> HINGE,DR UPR RH</v>
          </cell>
          <cell r="I555">
            <v>1</v>
          </cell>
          <cell r="J555">
            <v>1</v>
          </cell>
          <cell r="K555">
            <v>1</v>
          </cell>
          <cell r="O555">
            <v>1</v>
          </cell>
          <cell r="Q555">
            <v>1</v>
          </cell>
          <cell r="S555">
            <v>1</v>
          </cell>
          <cell r="T555">
            <v>1</v>
          </cell>
          <cell r="V555">
            <v>1</v>
          </cell>
          <cell r="X555">
            <v>1</v>
          </cell>
          <cell r="Y555">
            <v>1</v>
          </cell>
          <cell r="Z555">
            <v>1</v>
          </cell>
          <cell r="AA555">
            <v>1</v>
          </cell>
          <cell r="AE555">
            <v>1</v>
          </cell>
          <cell r="AG555">
            <v>1</v>
          </cell>
          <cell r="AI555">
            <v>1</v>
          </cell>
          <cell r="AJ555">
            <v>1</v>
          </cell>
          <cell r="AK555">
            <v>1</v>
          </cell>
          <cell r="AN555">
            <v>1</v>
          </cell>
          <cell r="AQ555">
            <v>1</v>
          </cell>
          <cell r="AS555">
            <v>1</v>
          </cell>
          <cell r="AT555">
            <v>1</v>
          </cell>
          <cell r="AU555">
            <v>1</v>
          </cell>
          <cell r="AV555">
            <v>1</v>
          </cell>
          <cell r="AX555">
            <v>1</v>
          </cell>
          <cell r="AY555">
            <v>1</v>
          </cell>
          <cell r="AZ555" t="str">
            <v>B</v>
          </cell>
          <cell r="BA555" t="str">
            <v>평화정공</v>
          </cell>
          <cell r="BB555" t="str">
            <v>H50B32K</v>
          </cell>
          <cell r="BD555" t="str">
            <v>L741</v>
          </cell>
          <cell r="BI555">
            <v>888</v>
          </cell>
          <cell r="BJ555">
            <v>458</v>
          </cell>
          <cell r="BK555">
            <v>97</v>
          </cell>
          <cell r="BL555">
            <v>88</v>
          </cell>
          <cell r="BM555"/>
          <cell r="BN555"/>
          <cell r="BO555"/>
          <cell r="BP555"/>
          <cell r="BQ555"/>
          <cell r="BR555"/>
          <cell r="BS555"/>
          <cell r="BT555"/>
          <cell r="BU555"/>
          <cell r="BV555"/>
          <cell r="BW555"/>
          <cell r="BX555"/>
          <cell r="BY555"/>
          <cell r="BZ555"/>
          <cell r="CA555"/>
          <cell r="CB555"/>
          <cell r="CC555"/>
          <cell r="CD555"/>
          <cell r="CE555"/>
          <cell r="CF555"/>
          <cell r="CG555"/>
          <cell r="CH555"/>
          <cell r="CI555"/>
          <cell r="CJ555"/>
          <cell r="CK555"/>
          <cell r="CL555"/>
          <cell r="CM555"/>
          <cell r="CN555"/>
          <cell r="CO555"/>
          <cell r="CP555"/>
          <cell r="CQ555"/>
        </row>
        <row r="556">
          <cell r="C556">
            <v>2584</v>
          </cell>
          <cell r="D556" t="str">
            <v>MB227224A</v>
          </cell>
          <cell r="E556" t="str">
            <v xml:space="preserve"> HINGE,DR UPR RH</v>
          </cell>
          <cell r="G556">
            <v>1</v>
          </cell>
          <cell r="AZ556" t="str">
            <v>B</v>
          </cell>
          <cell r="BA556" t="str">
            <v>평화정공</v>
          </cell>
          <cell r="BB556" t="str">
            <v>H50B31K</v>
          </cell>
          <cell r="BD556" t="str">
            <v>L741</v>
          </cell>
          <cell r="BE556" t="str">
            <v>ALL</v>
          </cell>
          <cell r="BI556">
            <v>0</v>
          </cell>
          <cell r="BJ556">
            <v>0</v>
          </cell>
          <cell r="BK556">
            <v>0</v>
          </cell>
          <cell r="BL556">
            <v>0</v>
          </cell>
          <cell r="BM556"/>
          <cell r="BN556"/>
          <cell r="BO556"/>
          <cell r="BP556"/>
          <cell r="BQ556"/>
          <cell r="BR556"/>
          <cell r="BS556"/>
          <cell r="BT556"/>
          <cell r="BU556"/>
          <cell r="BV556"/>
          <cell r="BW556"/>
          <cell r="BX556"/>
          <cell r="BY556"/>
          <cell r="BZ556"/>
          <cell r="CA556"/>
          <cell r="CB556"/>
          <cell r="CC556"/>
          <cell r="CD556"/>
          <cell r="CE556"/>
          <cell r="CF556"/>
          <cell r="CG556"/>
          <cell r="CH556"/>
          <cell r="CI556"/>
          <cell r="CJ556"/>
          <cell r="CK556"/>
        </row>
        <row r="557">
          <cell r="C557">
            <v>3774</v>
          </cell>
          <cell r="D557" t="str">
            <v>MB134167A</v>
          </cell>
          <cell r="E557" t="str">
            <v xml:space="preserve"> REINF CHECK</v>
          </cell>
          <cell r="I557">
            <v>2</v>
          </cell>
          <cell r="J557">
            <v>2</v>
          </cell>
          <cell r="K557">
            <v>2</v>
          </cell>
          <cell r="O557">
            <v>2</v>
          </cell>
          <cell r="Q557">
            <v>2</v>
          </cell>
          <cell r="S557">
            <v>2</v>
          </cell>
          <cell r="T557">
            <v>2</v>
          </cell>
          <cell r="V557">
            <v>2</v>
          </cell>
          <cell r="X557">
            <v>2</v>
          </cell>
          <cell r="Y557">
            <v>2</v>
          </cell>
          <cell r="Z557">
            <v>2</v>
          </cell>
          <cell r="AA557">
            <v>2</v>
          </cell>
          <cell r="AE557">
            <v>2</v>
          </cell>
          <cell r="AG557">
            <v>2</v>
          </cell>
          <cell r="AI557">
            <v>2</v>
          </cell>
          <cell r="AJ557">
            <v>2</v>
          </cell>
          <cell r="AK557">
            <v>2</v>
          </cell>
          <cell r="AN557">
            <v>2</v>
          </cell>
          <cell r="AQ557">
            <v>2</v>
          </cell>
          <cell r="AS557">
            <v>2</v>
          </cell>
          <cell r="AT557">
            <v>2</v>
          </cell>
          <cell r="AU557">
            <v>2</v>
          </cell>
          <cell r="AV557">
            <v>2</v>
          </cell>
          <cell r="AX557">
            <v>2</v>
          </cell>
          <cell r="AY557">
            <v>2</v>
          </cell>
          <cell r="AZ557" t="str">
            <v>B</v>
          </cell>
          <cell r="BA557" t="str">
            <v>한국블록</v>
          </cell>
          <cell r="BB557" t="str">
            <v>H50A17K</v>
          </cell>
          <cell r="BD557" t="str">
            <v>A348</v>
          </cell>
          <cell r="BI557">
            <v>1776</v>
          </cell>
          <cell r="BJ557">
            <v>916</v>
          </cell>
          <cell r="BK557">
            <v>194</v>
          </cell>
          <cell r="BL557">
            <v>176</v>
          </cell>
          <cell r="BM557"/>
          <cell r="BN557"/>
          <cell r="BO557"/>
          <cell r="BP557"/>
          <cell r="BQ557"/>
          <cell r="BR557"/>
          <cell r="BS557"/>
          <cell r="BT557"/>
          <cell r="BU557"/>
          <cell r="BV557"/>
          <cell r="BW557"/>
          <cell r="BX557"/>
          <cell r="BY557"/>
          <cell r="BZ557"/>
          <cell r="CA557"/>
          <cell r="CB557"/>
          <cell r="CC557"/>
          <cell r="CD557"/>
          <cell r="CE557"/>
          <cell r="CF557"/>
          <cell r="CG557"/>
          <cell r="CH557"/>
          <cell r="CI557"/>
          <cell r="CJ557"/>
          <cell r="CK557"/>
          <cell r="CL557"/>
          <cell r="CM557"/>
          <cell r="CN557"/>
          <cell r="CO557"/>
          <cell r="CP557"/>
          <cell r="CQ557"/>
        </row>
        <row r="558">
          <cell r="C558">
            <v>5168</v>
          </cell>
          <cell r="D558" t="str">
            <v>MB134167A</v>
          </cell>
          <cell r="E558" t="str">
            <v xml:space="preserve"> REINF CHECK</v>
          </cell>
          <cell r="G558">
            <v>2</v>
          </cell>
          <cell r="AZ558" t="str">
            <v>B</v>
          </cell>
          <cell r="BA558" t="str">
            <v>한국블록</v>
          </cell>
          <cell r="BB558" t="str">
            <v>H50A16K</v>
          </cell>
          <cell r="BD558" t="str">
            <v>A348</v>
          </cell>
          <cell r="BI558">
            <v>0</v>
          </cell>
          <cell r="BJ558">
            <v>0</v>
          </cell>
          <cell r="BK558">
            <v>0</v>
          </cell>
          <cell r="BL558">
            <v>0</v>
          </cell>
          <cell r="BM558"/>
          <cell r="BN558"/>
          <cell r="BO558"/>
          <cell r="BP558"/>
          <cell r="BQ558"/>
          <cell r="BR558"/>
          <cell r="BS558"/>
          <cell r="BT558"/>
          <cell r="BU558"/>
          <cell r="BV558"/>
          <cell r="BW558"/>
          <cell r="BX558"/>
          <cell r="BY558"/>
          <cell r="BZ558"/>
          <cell r="CA558"/>
          <cell r="CB558"/>
          <cell r="CC558"/>
          <cell r="CD558"/>
          <cell r="CE558"/>
          <cell r="CF558"/>
          <cell r="CG558"/>
          <cell r="CH558"/>
          <cell r="CI558"/>
          <cell r="CJ558"/>
        </row>
        <row r="559">
          <cell r="C559">
            <v>2584</v>
          </cell>
          <cell r="D559" t="str">
            <v>MB274032A</v>
          </cell>
          <cell r="E559" t="str">
            <v xml:space="preserve"> REINF CHECK</v>
          </cell>
          <cell r="G559">
            <v>1</v>
          </cell>
          <cell r="AZ559" t="str">
            <v>B</v>
          </cell>
          <cell r="BA559" t="str">
            <v>한국블록</v>
          </cell>
          <cell r="BD559" t="str">
            <v>A348</v>
          </cell>
          <cell r="BI559">
            <v>0</v>
          </cell>
          <cell r="BJ559">
            <v>0</v>
          </cell>
          <cell r="BK559">
            <v>0</v>
          </cell>
          <cell r="BL559">
            <v>0</v>
          </cell>
          <cell r="BM559"/>
          <cell r="BN559"/>
          <cell r="BO559"/>
          <cell r="BP559"/>
          <cell r="BQ559"/>
          <cell r="BR559"/>
          <cell r="BS559"/>
          <cell r="BT559"/>
          <cell r="BU559"/>
          <cell r="BV559"/>
          <cell r="BW559"/>
          <cell r="BX559"/>
          <cell r="BY559"/>
          <cell r="BZ559"/>
          <cell r="CA559"/>
          <cell r="CB559"/>
          <cell r="CC559"/>
          <cell r="CD559"/>
          <cell r="CE559"/>
          <cell r="CF559"/>
          <cell r="CG559"/>
          <cell r="CH559"/>
          <cell r="CI559"/>
          <cell r="CJ559"/>
        </row>
        <row r="560">
          <cell r="C560">
            <v>5168</v>
          </cell>
          <cell r="D560" t="str">
            <v>HG020001</v>
          </cell>
          <cell r="E560" t="str">
            <v xml:space="preserve"> CHECKER ASSY-FRT DR</v>
          </cell>
          <cell r="I560">
            <v>2</v>
          </cell>
          <cell r="J560">
            <v>2</v>
          </cell>
          <cell r="K560">
            <v>2</v>
          </cell>
          <cell r="M560">
            <v>2</v>
          </cell>
          <cell r="N560">
            <v>2</v>
          </cell>
          <cell r="O560">
            <v>2</v>
          </cell>
          <cell r="P560">
            <v>2</v>
          </cell>
          <cell r="Q560">
            <v>2</v>
          </cell>
          <cell r="R560">
            <v>2</v>
          </cell>
          <cell r="S560">
            <v>2</v>
          </cell>
          <cell r="T560">
            <v>2</v>
          </cell>
          <cell r="W560">
            <v>2</v>
          </cell>
          <cell r="X560">
            <v>2</v>
          </cell>
          <cell r="AC560">
            <v>2</v>
          </cell>
          <cell r="AD560">
            <v>2</v>
          </cell>
          <cell r="AE560">
            <v>2</v>
          </cell>
          <cell r="AH560">
            <v>2</v>
          </cell>
          <cell r="AI560">
            <v>2</v>
          </cell>
          <cell r="AJ560">
            <v>2</v>
          </cell>
          <cell r="AK560">
            <v>2</v>
          </cell>
          <cell r="AL560">
            <v>2</v>
          </cell>
          <cell r="AM560">
            <v>2</v>
          </cell>
          <cell r="AN560">
            <v>2</v>
          </cell>
          <cell r="AO560">
            <v>2</v>
          </cell>
          <cell r="AQ560">
            <v>2</v>
          </cell>
          <cell r="AR560">
            <v>2</v>
          </cell>
          <cell r="AS560">
            <v>2</v>
          </cell>
          <cell r="AU560">
            <v>2</v>
          </cell>
          <cell r="AW560">
            <v>2</v>
          </cell>
          <cell r="AX560">
            <v>2</v>
          </cell>
          <cell r="AY560">
            <v>2</v>
          </cell>
          <cell r="AZ560" t="str">
            <v>T</v>
          </cell>
          <cell r="BA560" t="str">
            <v>한국B/S</v>
          </cell>
        </row>
        <row r="561">
          <cell r="C561">
            <v>3784</v>
          </cell>
          <cell r="D561" t="str">
            <v>HG220001</v>
          </cell>
          <cell r="E561" t="str">
            <v xml:space="preserve"> CHECKER ASSY-RR DR</v>
          </cell>
          <cell r="I561">
            <v>2</v>
          </cell>
          <cell r="J561">
            <v>2</v>
          </cell>
          <cell r="K561">
            <v>2</v>
          </cell>
          <cell r="O561">
            <v>2</v>
          </cell>
          <cell r="Q561">
            <v>2</v>
          </cell>
          <cell r="S561">
            <v>2</v>
          </cell>
          <cell r="T561">
            <v>2</v>
          </cell>
          <cell r="X561">
            <v>2</v>
          </cell>
          <cell r="AE561">
            <v>2</v>
          </cell>
          <cell r="AI561">
            <v>2</v>
          </cell>
          <cell r="AJ561">
            <v>2</v>
          </cell>
          <cell r="AK561">
            <v>2</v>
          </cell>
          <cell r="AQ561">
            <v>2</v>
          </cell>
          <cell r="AR561">
            <v>2</v>
          </cell>
          <cell r="AS561">
            <v>2</v>
          </cell>
          <cell r="AU561">
            <v>2</v>
          </cell>
          <cell r="AX561">
            <v>2</v>
          </cell>
          <cell r="AY561">
            <v>2</v>
          </cell>
          <cell r="AZ561" t="str">
            <v>T</v>
          </cell>
          <cell r="BA561" t="str">
            <v>한국B/S</v>
          </cell>
        </row>
        <row r="562">
          <cell r="C562">
            <v>2584</v>
          </cell>
          <cell r="D562" t="str">
            <v>HG320001</v>
          </cell>
          <cell r="E562" t="str">
            <v xml:space="preserve"> CHECKER ASSY-BACK DR</v>
          </cell>
          <cell r="I562">
            <v>1</v>
          </cell>
          <cell r="J562">
            <v>1</v>
          </cell>
          <cell r="K562">
            <v>1</v>
          </cell>
          <cell r="M562">
            <v>1</v>
          </cell>
          <cell r="N562">
            <v>1</v>
          </cell>
          <cell r="O562">
            <v>1</v>
          </cell>
          <cell r="P562">
            <v>1</v>
          </cell>
          <cell r="Q562">
            <v>1</v>
          </cell>
          <cell r="R562">
            <v>1</v>
          </cell>
          <cell r="S562">
            <v>1</v>
          </cell>
          <cell r="T562">
            <v>1</v>
          </cell>
          <cell r="W562">
            <v>1</v>
          </cell>
          <cell r="X562">
            <v>1</v>
          </cell>
          <cell r="AB562">
            <v>1</v>
          </cell>
          <cell r="AC562">
            <v>1</v>
          </cell>
          <cell r="AD562">
            <v>1</v>
          </cell>
          <cell r="AH562">
            <v>1</v>
          </cell>
          <cell r="AI562">
            <v>1</v>
          </cell>
          <cell r="AJ562">
            <v>1</v>
          </cell>
          <cell r="AK562">
            <v>1</v>
          </cell>
          <cell r="AL562">
            <v>1</v>
          </cell>
          <cell r="AM562">
            <v>1</v>
          </cell>
          <cell r="AN562">
            <v>1</v>
          </cell>
          <cell r="AO562">
            <v>1</v>
          </cell>
          <cell r="AQ562">
            <v>1</v>
          </cell>
          <cell r="AR562">
            <v>1</v>
          </cell>
          <cell r="AS562">
            <v>1</v>
          </cell>
          <cell r="AU562">
            <v>1</v>
          </cell>
          <cell r="AW562">
            <v>1</v>
          </cell>
          <cell r="AX562">
            <v>1</v>
          </cell>
          <cell r="AY562">
            <v>1</v>
          </cell>
          <cell r="AZ562" t="str">
            <v>T</v>
          </cell>
          <cell r="BA562" t="str">
            <v>한국B/S</v>
          </cell>
        </row>
        <row r="563">
          <cell r="C563">
            <v>123</v>
          </cell>
          <cell r="D563" t="str">
            <v>MB275615B</v>
          </cell>
          <cell r="E563" t="str">
            <v xml:space="preserve"> PANEL,SIDE,INR UPR LH</v>
          </cell>
          <cell r="L563">
            <v>1</v>
          </cell>
          <cell r="M563">
            <v>1</v>
          </cell>
          <cell r="N563">
            <v>1</v>
          </cell>
          <cell r="P563">
            <v>1</v>
          </cell>
          <cell r="U563">
            <v>1</v>
          </cell>
          <cell r="W563">
            <v>1</v>
          </cell>
          <cell r="AD563">
            <v>1</v>
          </cell>
          <cell r="AH563">
            <v>1</v>
          </cell>
          <cell r="AL563">
            <v>1</v>
          </cell>
          <cell r="AM563">
            <v>1</v>
          </cell>
          <cell r="AN563">
            <v>1</v>
          </cell>
          <cell r="AO563">
            <v>1</v>
          </cell>
          <cell r="AP563">
            <v>1</v>
          </cell>
          <cell r="AW563">
            <v>1</v>
          </cell>
          <cell r="AZ563" t="str">
            <v>B</v>
          </cell>
          <cell r="BA563" t="str">
            <v>협신공업</v>
          </cell>
          <cell r="BB563" t="str">
            <v>H50A17K</v>
          </cell>
          <cell r="BD563" t="str">
            <v>Q816</v>
          </cell>
          <cell r="BE563" t="str">
            <v>S/B DLX</v>
          </cell>
          <cell r="BI563">
            <v>49</v>
          </cell>
          <cell r="BJ563">
            <v>0</v>
          </cell>
          <cell r="BK563">
            <v>28</v>
          </cell>
          <cell r="BL563">
            <v>2</v>
          </cell>
          <cell r="BM563"/>
          <cell r="BN563"/>
          <cell r="BO563"/>
          <cell r="BP563"/>
          <cell r="BQ563"/>
          <cell r="BR563"/>
          <cell r="BS563"/>
          <cell r="BT563"/>
          <cell r="BU563"/>
          <cell r="BV563"/>
          <cell r="BW563"/>
          <cell r="BX563"/>
          <cell r="BY563"/>
          <cell r="BZ563"/>
          <cell r="CA563"/>
          <cell r="CB563"/>
          <cell r="CC563"/>
          <cell r="CD563"/>
          <cell r="CE563"/>
          <cell r="CF563"/>
          <cell r="CG563"/>
          <cell r="CH563"/>
          <cell r="CI563"/>
          <cell r="CJ563"/>
          <cell r="CK563"/>
          <cell r="CL563"/>
          <cell r="CM563"/>
          <cell r="CN563"/>
          <cell r="CO563"/>
          <cell r="CP563"/>
        </row>
        <row r="564">
          <cell r="C564">
            <v>123</v>
          </cell>
          <cell r="D564" t="str">
            <v>MB275616B</v>
          </cell>
          <cell r="E564" t="str">
            <v xml:space="preserve"> PANEL,SIDE,INR UPR RH</v>
          </cell>
          <cell r="L564">
            <v>1</v>
          </cell>
          <cell r="M564">
            <v>1</v>
          </cell>
          <cell r="N564">
            <v>1</v>
          </cell>
          <cell r="P564">
            <v>1</v>
          </cell>
          <cell r="U564">
            <v>1</v>
          </cell>
          <cell r="W564">
            <v>1</v>
          </cell>
          <cell r="AD564">
            <v>1</v>
          </cell>
          <cell r="AH564">
            <v>1</v>
          </cell>
          <cell r="AL564">
            <v>1</v>
          </cell>
          <cell r="AM564">
            <v>1</v>
          </cell>
          <cell r="AN564">
            <v>1</v>
          </cell>
          <cell r="AO564">
            <v>1</v>
          </cell>
          <cell r="AP564">
            <v>1</v>
          </cell>
          <cell r="AW564">
            <v>1</v>
          </cell>
          <cell r="AZ564" t="str">
            <v>B</v>
          </cell>
          <cell r="BA564" t="str">
            <v>협신공업</v>
          </cell>
          <cell r="BB564" t="str">
            <v>H50A17K</v>
          </cell>
          <cell r="BD564" t="str">
            <v>Q816</v>
          </cell>
          <cell r="BE564" t="str">
            <v>S/B DLX</v>
          </cell>
          <cell r="BI564">
            <v>49</v>
          </cell>
          <cell r="BJ564">
            <v>0</v>
          </cell>
          <cell r="BK564">
            <v>28</v>
          </cell>
          <cell r="BL564">
            <v>2</v>
          </cell>
          <cell r="BM564"/>
          <cell r="BN564"/>
          <cell r="BO564"/>
          <cell r="BP564"/>
          <cell r="BQ564"/>
          <cell r="BR564"/>
          <cell r="BS564"/>
          <cell r="BT564"/>
          <cell r="BU564"/>
          <cell r="BV564"/>
          <cell r="BW564"/>
          <cell r="BX564"/>
          <cell r="BY564"/>
          <cell r="BZ564"/>
          <cell r="CA564"/>
          <cell r="CB564"/>
          <cell r="CC564"/>
          <cell r="CD564"/>
          <cell r="CE564"/>
          <cell r="CF564"/>
          <cell r="CG564"/>
          <cell r="CH564"/>
          <cell r="CI564"/>
          <cell r="CJ564"/>
          <cell r="CK564"/>
          <cell r="CL564"/>
          <cell r="CM564"/>
          <cell r="CN564"/>
          <cell r="CO564"/>
          <cell r="CP564"/>
        </row>
        <row r="565">
          <cell r="C565">
            <v>1265</v>
          </cell>
          <cell r="D565" t="str">
            <v>HQ505665</v>
          </cell>
          <cell r="E565" t="str">
            <v xml:space="preserve"> REINF SHIELD FENDER LH</v>
          </cell>
          <cell r="F565" t="str">
            <v>+651A</v>
          </cell>
          <cell r="R565">
            <v>1</v>
          </cell>
          <cell r="S565">
            <v>1</v>
          </cell>
          <cell r="T565">
            <v>1</v>
          </cell>
          <cell r="Y565">
            <v>1</v>
          </cell>
          <cell r="Z565">
            <v>1</v>
          </cell>
          <cell r="AE565">
            <v>1</v>
          </cell>
          <cell r="AF565">
            <v>1</v>
          </cell>
          <cell r="AG565">
            <v>1</v>
          </cell>
          <cell r="AH565">
            <v>1</v>
          </cell>
          <cell r="AI565">
            <v>1</v>
          </cell>
          <cell r="AJ565">
            <v>1</v>
          </cell>
          <cell r="AK565">
            <v>1</v>
          </cell>
          <cell r="AL565">
            <v>1</v>
          </cell>
          <cell r="AM565">
            <v>1</v>
          </cell>
          <cell r="AN565">
            <v>1</v>
          </cell>
          <cell r="AO565">
            <v>1</v>
          </cell>
          <cell r="AP565">
            <v>1</v>
          </cell>
          <cell r="AQ565">
            <v>1</v>
          </cell>
          <cell r="AR565">
            <v>1</v>
          </cell>
          <cell r="AS565">
            <v>1</v>
          </cell>
          <cell r="AT565">
            <v>1</v>
          </cell>
          <cell r="AU565">
            <v>1</v>
          </cell>
          <cell r="AV565">
            <v>1</v>
          </cell>
          <cell r="AW565">
            <v>1</v>
          </cell>
          <cell r="AX565">
            <v>1</v>
          </cell>
          <cell r="AY565">
            <v>1</v>
          </cell>
          <cell r="AZ565" t="str">
            <v>B</v>
          </cell>
          <cell r="BA565" t="str">
            <v>화신테크</v>
          </cell>
          <cell r="BB565"/>
          <cell r="BC565"/>
          <cell r="BD565" t="str">
            <v>K545</v>
          </cell>
          <cell r="BE565"/>
          <cell r="BF565"/>
          <cell r="BI565">
            <v>0</v>
          </cell>
          <cell r="BJ565">
            <v>995</v>
          </cell>
          <cell r="BK565">
            <v>118</v>
          </cell>
          <cell r="BL565">
            <v>102</v>
          </cell>
          <cell r="BM565"/>
          <cell r="BN565"/>
          <cell r="BO565"/>
          <cell r="BP565"/>
          <cell r="BQ565"/>
          <cell r="BR565"/>
          <cell r="BS565"/>
          <cell r="BT565"/>
          <cell r="BU565"/>
          <cell r="BV565"/>
          <cell r="BW565"/>
          <cell r="BX565"/>
          <cell r="BY565"/>
          <cell r="BZ565"/>
          <cell r="CA565"/>
          <cell r="CB565"/>
          <cell r="CC565"/>
          <cell r="CD565"/>
          <cell r="CE565"/>
          <cell r="CF565"/>
          <cell r="CG565"/>
          <cell r="CH565"/>
          <cell r="CI565"/>
          <cell r="CJ565"/>
          <cell r="CK565"/>
          <cell r="CL565"/>
        </row>
        <row r="566">
          <cell r="C566">
            <v>122</v>
          </cell>
          <cell r="D566" t="str">
            <v>HQ505666</v>
          </cell>
          <cell r="E566" t="str">
            <v xml:space="preserve"> REINF SHIELD FENDER LH</v>
          </cell>
          <cell r="F566" t="str">
            <v>+651A,-661B</v>
          </cell>
          <cell r="Y566">
            <v>1</v>
          </cell>
          <cell r="Z566">
            <v>1</v>
          </cell>
          <cell r="AF566">
            <v>1</v>
          </cell>
          <cell r="AG566">
            <v>1</v>
          </cell>
          <cell r="AH566"/>
          <cell r="AI566"/>
          <cell r="AJ566">
            <v>1</v>
          </cell>
          <cell r="AK566"/>
          <cell r="AL566">
            <v>1</v>
          </cell>
          <cell r="AM566">
            <v>1</v>
          </cell>
          <cell r="AN566"/>
          <cell r="AO566">
            <v>1</v>
          </cell>
          <cell r="AP566"/>
          <cell r="AQ566">
            <v>1</v>
          </cell>
          <cell r="AR566"/>
          <cell r="AS566">
            <v>1</v>
          </cell>
          <cell r="AT566"/>
          <cell r="AU566">
            <v>1</v>
          </cell>
          <cell r="AV566">
            <v>1</v>
          </cell>
          <cell r="AW566"/>
          <cell r="AX566"/>
          <cell r="AY566"/>
          <cell r="AZ566" t="str">
            <v>B</v>
          </cell>
          <cell r="BA566" t="str">
            <v>화신테크</v>
          </cell>
          <cell r="BB566"/>
          <cell r="BC566"/>
          <cell r="BD566" t="str">
            <v>K545</v>
          </cell>
          <cell r="BE566"/>
          <cell r="BF566"/>
          <cell r="BI566">
            <v>0</v>
          </cell>
          <cell r="BJ566">
            <v>0</v>
          </cell>
          <cell r="BK566">
            <v>57</v>
          </cell>
          <cell r="BL566">
            <v>56</v>
          </cell>
          <cell r="BM566"/>
          <cell r="BN566"/>
          <cell r="BO566"/>
          <cell r="BP566"/>
          <cell r="BQ566"/>
          <cell r="BR566"/>
          <cell r="BS566"/>
          <cell r="BT566"/>
          <cell r="BU566"/>
          <cell r="BV566"/>
          <cell r="BW566"/>
          <cell r="BX566"/>
          <cell r="BY566"/>
          <cell r="BZ566"/>
          <cell r="CA566"/>
          <cell r="CB566"/>
          <cell r="CC566"/>
          <cell r="CD566"/>
          <cell r="CE566"/>
          <cell r="CF566"/>
          <cell r="CG566"/>
          <cell r="CH566"/>
          <cell r="CI566"/>
          <cell r="CJ566"/>
          <cell r="CK566"/>
          <cell r="CL566"/>
        </row>
        <row r="567">
          <cell r="C567">
            <v>171</v>
          </cell>
          <cell r="D567" t="str">
            <v>HQ505686</v>
          </cell>
          <cell r="E567" t="str">
            <v xml:space="preserve"> REINF SHIELD FENDER LH</v>
          </cell>
          <cell r="F567" t="str">
            <v>+661B</v>
          </cell>
          <cell r="AE567">
            <v>1</v>
          </cell>
          <cell r="AH567">
            <v>1</v>
          </cell>
          <cell r="AI567">
            <v>1</v>
          </cell>
          <cell r="AK567">
            <v>1</v>
          </cell>
          <cell r="AN567">
            <v>1</v>
          </cell>
          <cell r="AO567">
            <v>1</v>
          </cell>
          <cell r="AP567">
            <v>1</v>
          </cell>
          <cell r="AR567">
            <v>1</v>
          </cell>
          <cell r="AS567">
            <v>1</v>
          </cell>
          <cell r="AT567">
            <v>1</v>
          </cell>
          <cell r="AW567">
            <v>1</v>
          </cell>
          <cell r="AX567">
            <v>1</v>
          </cell>
          <cell r="AY567">
            <v>1</v>
          </cell>
          <cell r="AZ567" t="str">
            <v>B</v>
          </cell>
          <cell r="BA567" t="str">
            <v>화신테크</v>
          </cell>
          <cell r="BD567" t="str">
            <v>K545</v>
          </cell>
          <cell r="BI567">
            <v>0</v>
          </cell>
          <cell r="BJ567">
            <v>0</v>
          </cell>
          <cell r="BK567">
            <v>69</v>
          </cell>
          <cell r="BL567">
            <v>75</v>
          </cell>
          <cell r="BM567"/>
          <cell r="BN567"/>
          <cell r="BO567"/>
          <cell r="BP567"/>
          <cell r="BQ567"/>
          <cell r="BR567"/>
          <cell r="BS567"/>
          <cell r="BT567"/>
          <cell r="BU567"/>
          <cell r="BV567"/>
          <cell r="BW567"/>
          <cell r="BX567"/>
          <cell r="BY567"/>
          <cell r="BZ567"/>
          <cell r="CA567"/>
          <cell r="CB567"/>
          <cell r="CC567"/>
          <cell r="CD567"/>
          <cell r="CE567"/>
          <cell r="CF567"/>
          <cell r="CG567"/>
          <cell r="CH567"/>
          <cell r="CI567"/>
          <cell r="CJ567"/>
          <cell r="CK567"/>
          <cell r="CL567"/>
          <cell r="CM567"/>
          <cell r="CN567"/>
          <cell r="CO567"/>
          <cell r="CP567"/>
          <cell r="CQ567"/>
        </row>
        <row r="568">
          <cell r="C568">
            <v>2584</v>
          </cell>
          <cell r="D568" t="str">
            <v>MB250325</v>
          </cell>
          <cell r="E568" t="str">
            <v xml:space="preserve"> RAIL,SIDE ROOF,OTR LH</v>
          </cell>
          <cell r="G568">
            <v>1</v>
          </cell>
          <cell r="AZ568" t="str">
            <v>B</v>
          </cell>
          <cell r="BA568" t="str">
            <v>화신테크</v>
          </cell>
          <cell r="BB568" t="str">
            <v>H50A16K</v>
          </cell>
          <cell r="BD568" t="str">
            <v>K545</v>
          </cell>
          <cell r="BE568" t="str">
            <v>ALL</v>
          </cell>
          <cell r="BI568">
            <v>0</v>
          </cell>
          <cell r="BJ568">
            <v>0</v>
          </cell>
          <cell r="BK568">
            <v>0</v>
          </cell>
          <cell r="BL568">
            <v>0</v>
          </cell>
          <cell r="BM568"/>
          <cell r="BN568"/>
          <cell r="BO568"/>
          <cell r="BP568"/>
          <cell r="BQ568"/>
          <cell r="BR568"/>
          <cell r="BS568"/>
          <cell r="BT568"/>
          <cell r="BU568"/>
          <cell r="BV568"/>
          <cell r="BW568"/>
          <cell r="BX568"/>
          <cell r="BY568"/>
          <cell r="BZ568"/>
          <cell r="CA568"/>
          <cell r="CB568"/>
          <cell r="CC568"/>
          <cell r="CD568"/>
          <cell r="CE568"/>
          <cell r="CF568"/>
          <cell r="CG568"/>
          <cell r="CH568"/>
          <cell r="CI568"/>
          <cell r="CJ568"/>
          <cell r="CK568"/>
        </row>
        <row r="569">
          <cell r="C569">
            <v>2584</v>
          </cell>
          <cell r="D569" t="str">
            <v>MB250326</v>
          </cell>
          <cell r="E569" t="str">
            <v xml:space="preserve"> RAIL,SIDE ROOF,OTR RH</v>
          </cell>
          <cell r="G569">
            <v>1</v>
          </cell>
          <cell r="AZ569" t="str">
            <v>B</v>
          </cell>
          <cell r="BA569" t="str">
            <v>화신테크</v>
          </cell>
          <cell r="BB569" t="str">
            <v>H50A16K</v>
          </cell>
          <cell r="BD569" t="str">
            <v>K545</v>
          </cell>
          <cell r="BE569" t="str">
            <v>ALL</v>
          </cell>
          <cell r="BI569">
            <v>0</v>
          </cell>
          <cell r="BJ569">
            <v>0</v>
          </cell>
          <cell r="BK569">
            <v>0</v>
          </cell>
          <cell r="BL569">
            <v>0</v>
          </cell>
          <cell r="BM569"/>
          <cell r="BN569"/>
          <cell r="BO569"/>
          <cell r="BP569"/>
          <cell r="BQ569"/>
          <cell r="BR569"/>
          <cell r="BS569"/>
          <cell r="BT569"/>
          <cell r="BU569"/>
          <cell r="BV569"/>
          <cell r="BW569"/>
          <cell r="BX569"/>
          <cell r="BY569"/>
          <cell r="BZ569"/>
          <cell r="CA569"/>
          <cell r="CB569"/>
          <cell r="CC569"/>
          <cell r="CD569"/>
          <cell r="CE569"/>
          <cell r="CF569"/>
          <cell r="CG569"/>
          <cell r="CH569"/>
          <cell r="CI569"/>
          <cell r="CJ569"/>
          <cell r="CK569"/>
        </row>
        <row r="570">
          <cell r="C570">
            <v>20</v>
          </cell>
          <cell r="D570" t="str">
            <v>MB275073A</v>
          </cell>
          <cell r="E570" t="str">
            <v xml:space="preserve"> ROOF RAIL,R/SIDE INR LH</v>
          </cell>
          <cell r="I570">
            <v>1</v>
          </cell>
          <cell r="AG570">
            <v>1</v>
          </cell>
          <cell r="AZ570" t="str">
            <v>B</v>
          </cell>
          <cell r="BA570" t="str">
            <v>화신테크</v>
          </cell>
          <cell r="BB570" t="str">
            <v>H50A17K</v>
          </cell>
          <cell r="BC570" t="str">
            <v>LINE H/R 미사용</v>
          </cell>
          <cell r="BD570" t="str">
            <v>K545</v>
          </cell>
          <cell r="BE570" t="str">
            <v>2,H/R</v>
          </cell>
          <cell r="BI570">
            <v>20</v>
          </cell>
          <cell r="BJ570">
            <v>0</v>
          </cell>
          <cell r="BK570">
            <v>0</v>
          </cell>
          <cell r="BL570">
            <v>0</v>
          </cell>
          <cell r="BM570"/>
          <cell r="BN570"/>
          <cell r="BO570"/>
          <cell r="BP570"/>
          <cell r="BQ570"/>
          <cell r="BR570"/>
          <cell r="BS570"/>
          <cell r="BT570"/>
          <cell r="BU570"/>
          <cell r="BV570"/>
          <cell r="BW570"/>
          <cell r="BX570"/>
          <cell r="BY570"/>
          <cell r="BZ570"/>
          <cell r="CA570"/>
          <cell r="CB570"/>
          <cell r="CC570"/>
          <cell r="CD570"/>
          <cell r="CE570"/>
          <cell r="CF570"/>
          <cell r="CG570"/>
          <cell r="CH570"/>
          <cell r="CI570"/>
          <cell r="CJ570"/>
          <cell r="CK570"/>
        </row>
        <row r="571">
          <cell r="C571">
            <v>20</v>
          </cell>
          <cell r="D571" t="str">
            <v>MB275074A</v>
          </cell>
          <cell r="E571" t="str">
            <v xml:space="preserve"> ROOF RAIL,R/SIDE INR RH</v>
          </cell>
          <cell r="I571">
            <v>1</v>
          </cell>
          <cell r="AG571">
            <v>1</v>
          </cell>
          <cell r="AZ571" t="str">
            <v>B</v>
          </cell>
          <cell r="BA571" t="str">
            <v>화신테크</v>
          </cell>
          <cell r="BB571" t="str">
            <v>H50A17K</v>
          </cell>
          <cell r="BC571" t="str">
            <v>〃 K/UP JOB#1</v>
          </cell>
          <cell r="BD571" t="str">
            <v>K545</v>
          </cell>
          <cell r="BE571" t="str">
            <v>2,H/R</v>
          </cell>
          <cell r="BI571">
            <v>20</v>
          </cell>
          <cell r="BJ571">
            <v>0</v>
          </cell>
          <cell r="BK571">
            <v>0</v>
          </cell>
          <cell r="BL571">
            <v>0</v>
          </cell>
          <cell r="BM571"/>
          <cell r="BN571"/>
          <cell r="BO571"/>
          <cell r="BP571"/>
          <cell r="BQ571"/>
          <cell r="BR571"/>
          <cell r="BS571"/>
          <cell r="BT571"/>
          <cell r="BU571"/>
          <cell r="BV571"/>
          <cell r="BW571"/>
          <cell r="BX571"/>
          <cell r="BY571"/>
          <cell r="BZ571"/>
          <cell r="CA571"/>
          <cell r="CB571"/>
          <cell r="CC571"/>
          <cell r="CD571"/>
          <cell r="CE571"/>
          <cell r="CF571"/>
          <cell r="CG571"/>
          <cell r="CH571"/>
          <cell r="CI571"/>
          <cell r="CJ571"/>
          <cell r="CK571"/>
        </row>
        <row r="572">
          <cell r="C572">
            <v>1872</v>
          </cell>
          <cell r="D572" t="str">
            <v>MB591277A</v>
          </cell>
          <cell r="E572" t="str">
            <v xml:space="preserve"> ROOF RAIL,R/SIDE INR LH</v>
          </cell>
          <cell r="J572">
            <v>1</v>
          </cell>
          <cell r="K572">
            <v>1</v>
          </cell>
          <cell r="O572">
            <v>1</v>
          </cell>
          <cell r="Q572">
            <v>1</v>
          </cell>
          <cell r="S572">
            <v>1</v>
          </cell>
          <cell r="T572">
            <v>1</v>
          </cell>
          <cell r="V572">
            <v>1</v>
          </cell>
          <cell r="X572">
            <v>1</v>
          </cell>
          <cell r="Y572">
            <v>1</v>
          </cell>
          <cell r="Z572">
            <v>1</v>
          </cell>
          <cell r="AA572">
            <v>1</v>
          </cell>
          <cell r="AE572">
            <v>1</v>
          </cell>
          <cell r="AI572">
            <v>1</v>
          </cell>
          <cell r="AJ572">
            <v>1</v>
          </cell>
          <cell r="AK572">
            <v>1</v>
          </cell>
          <cell r="AQ572">
            <v>1</v>
          </cell>
          <cell r="AR572">
            <v>1</v>
          </cell>
          <cell r="AS572">
            <v>1</v>
          </cell>
          <cell r="AT572">
            <v>1</v>
          </cell>
          <cell r="AU572">
            <v>1</v>
          </cell>
          <cell r="AV572">
            <v>1</v>
          </cell>
          <cell r="AX572">
            <v>1</v>
          </cell>
          <cell r="AY572">
            <v>1</v>
          </cell>
          <cell r="AZ572" t="str">
            <v>B</v>
          </cell>
          <cell r="BA572" t="str">
            <v>화신테크</v>
          </cell>
          <cell r="BB572" t="str">
            <v>H50A17K</v>
          </cell>
          <cell r="BC572" t="str">
            <v>LINE H/R추가사용</v>
          </cell>
          <cell r="BD572" t="str">
            <v>K545</v>
          </cell>
          <cell r="BI572">
            <v>868</v>
          </cell>
          <cell r="BJ572">
            <v>458</v>
          </cell>
          <cell r="BK572">
            <v>90</v>
          </cell>
          <cell r="BL572">
            <v>100</v>
          </cell>
          <cell r="BM572"/>
          <cell r="BN572"/>
          <cell r="BO572"/>
          <cell r="BP572"/>
          <cell r="BQ572"/>
          <cell r="BR572"/>
          <cell r="BS572"/>
          <cell r="BT572"/>
          <cell r="BU572"/>
          <cell r="BV572"/>
          <cell r="BW572"/>
          <cell r="BX572"/>
          <cell r="BY572"/>
          <cell r="BZ572"/>
          <cell r="CA572"/>
          <cell r="CB572"/>
          <cell r="CC572"/>
          <cell r="CD572"/>
          <cell r="CE572"/>
          <cell r="CF572"/>
          <cell r="CG572"/>
          <cell r="CH572"/>
          <cell r="CI572"/>
          <cell r="CJ572"/>
          <cell r="CK572"/>
          <cell r="CL572"/>
          <cell r="CM572"/>
          <cell r="CN572"/>
          <cell r="CO572"/>
          <cell r="CP572"/>
          <cell r="CQ572"/>
        </row>
        <row r="573">
          <cell r="C573">
            <v>1872</v>
          </cell>
          <cell r="D573" t="str">
            <v>MB591278A</v>
          </cell>
          <cell r="E573" t="str">
            <v xml:space="preserve"> ROOF RAIL,R/SIDE INR RH</v>
          </cell>
          <cell r="J573">
            <v>1</v>
          </cell>
          <cell r="K573">
            <v>1</v>
          </cell>
          <cell r="O573">
            <v>1</v>
          </cell>
          <cell r="Q573">
            <v>1</v>
          </cell>
          <cell r="S573">
            <v>1</v>
          </cell>
          <cell r="T573">
            <v>1</v>
          </cell>
          <cell r="V573">
            <v>1</v>
          </cell>
          <cell r="X573">
            <v>1</v>
          </cell>
          <cell r="Y573">
            <v>1</v>
          </cell>
          <cell r="Z573">
            <v>1</v>
          </cell>
          <cell r="AA573">
            <v>1</v>
          </cell>
          <cell r="AE573">
            <v>1</v>
          </cell>
          <cell r="AI573">
            <v>1</v>
          </cell>
          <cell r="AJ573">
            <v>1</v>
          </cell>
          <cell r="AK573">
            <v>1</v>
          </cell>
          <cell r="AQ573">
            <v>1</v>
          </cell>
          <cell r="AR573">
            <v>1</v>
          </cell>
          <cell r="AS573">
            <v>1</v>
          </cell>
          <cell r="AT573">
            <v>1</v>
          </cell>
          <cell r="AU573">
            <v>1</v>
          </cell>
          <cell r="AV573">
            <v>1</v>
          </cell>
          <cell r="AX573">
            <v>1</v>
          </cell>
          <cell r="AY573">
            <v>1</v>
          </cell>
          <cell r="AZ573" t="str">
            <v>B</v>
          </cell>
          <cell r="BA573" t="str">
            <v>화신테크</v>
          </cell>
          <cell r="BB573" t="str">
            <v>H50A17K</v>
          </cell>
          <cell r="BC573" t="str">
            <v>〃 K/UP JOB#1</v>
          </cell>
          <cell r="BD573" t="str">
            <v>K545</v>
          </cell>
          <cell r="BI573">
            <v>868</v>
          </cell>
          <cell r="BJ573">
            <v>458</v>
          </cell>
          <cell r="BK573">
            <v>90</v>
          </cell>
          <cell r="BL573">
            <v>100</v>
          </cell>
          <cell r="BM573"/>
          <cell r="BN573"/>
          <cell r="BO573"/>
          <cell r="BP573"/>
          <cell r="BQ573"/>
          <cell r="BR573"/>
          <cell r="BS573"/>
          <cell r="BT573"/>
          <cell r="BU573"/>
          <cell r="BV573"/>
          <cell r="BW573"/>
          <cell r="BX573"/>
          <cell r="BY573"/>
          <cell r="BZ573"/>
          <cell r="CA573"/>
          <cell r="CB573"/>
          <cell r="CC573"/>
          <cell r="CD573"/>
          <cell r="CE573"/>
          <cell r="CF573"/>
          <cell r="CG573"/>
          <cell r="CH573"/>
          <cell r="CI573"/>
          <cell r="CJ573"/>
          <cell r="CK573"/>
          <cell r="CL573"/>
          <cell r="CM573"/>
          <cell r="CN573"/>
          <cell r="CO573"/>
          <cell r="CP573"/>
          <cell r="CQ573"/>
        </row>
        <row r="574">
          <cell r="C574">
            <v>1892</v>
          </cell>
          <cell r="D574" t="str">
            <v>MB591447A</v>
          </cell>
          <cell r="E574" t="str">
            <v xml:space="preserve"> ROOF RAIL,R/SIDE OTR LH</v>
          </cell>
          <cell r="I574">
            <v>1</v>
          </cell>
          <cell r="J574">
            <v>1</v>
          </cell>
          <cell r="K574">
            <v>1</v>
          </cell>
          <cell r="O574">
            <v>1</v>
          </cell>
          <cell r="Q574">
            <v>1</v>
          </cell>
          <cell r="S574">
            <v>1</v>
          </cell>
          <cell r="T574">
            <v>1</v>
          </cell>
          <cell r="V574">
            <v>1</v>
          </cell>
          <cell r="X574">
            <v>1</v>
          </cell>
          <cell r="Y574">
            <v>1</v>
          </cell>
          <cell r="Z574">
            <v>1</v>
          </cell>
          <cell r="AA574">
            <v>1</v>
          </cell>
          <cell r="AE574">
            <v>1</v>
          </cell>
          <cell r="AG574">
            <v>1</v>
          </cell>
          <cell r="AI574">
            <v>1</v>
          </cell>
          <cell r="AJ574">
            <v>1</v>
          </cell>
          <cell r="AK574">
            <v>1</v>
          </cell>
          <cell r="AQ574">
            <v>1</v>
          </cell>
          <cell r="AR574">
            <v>1</v>
          </cell>
          <cell r="AS574">
            <v>1</v>
          </cell>
          <cell r="AT574">
            <v>1</v>
          </cell>
          <cell r="AU574">
            <v>1</v>
          </cell>
          <cell r="AV574">
            <v>1</v>
          </cell>
          <cell r="AX574">
            <v>1</v>
          </cell>
          <cell r="AY574">
            <v>1</v>
          </cell>
          <cell r="AZ574" t="str">
            <v>B</v>
          </cell>
          <cell r="BA574" t="str">
            <v>화신테크</v>
          </cell>
          <cell r="BB574" t="str">
            <v>H50A17K</v>
          </cell>
          <cell r="BD574" t="str">
            <v>K545</v>
          </cell>
          <cell r="BI574">
            <v>888</v>
          </cell>
          <cell r="BJ574">
            <v>458</v>
          </cell>
          <cell r="BK574">
            <v>90</v>
          </cell>
          <cell r="BL574">
            <v>100</v>
          </cell>
          <cell r="BM574"/>
          <cell r="BN574"/>
          <cell r="BO574"/>
          <cell r="BP574"/>
          <cell r="BQ574"/>
          <cell r="BR574"/>
          <cell r="BS574"/>
          <cell r="BT574"/>
          <cell r="BU574"/>
          <cell r="BV574"/>
          <cell r="BW574"/>
          <cell r="BX574"/>
          <cell r="BY574"/>
          <cell r="BZ574"/>
          <cell r="CA574"/>
          <cell r="CB574"/>
          <cell r="CC574"/>
          <cell r="CD574"/>
          <cell r="CE574"/>
          <cell r="CF574"/>
          <cell r="CG574"/>
          <cell r="CH574"/>
          <cell r="CI574"/>
          <cell r="CJ574"/>
          <cell r="CK574"/>
          <cell r="CL574"/>
          <cell r="CM574"/>
          <cell r="CN574"/>
          <cell r="CO574"/>
          <cell r="CP574"/>
          <cell r="CQ574"/>
        </row>
        <row r="575">
          <cell r="C575">
            <v>1892</v>
          </cell>
          <cell r="D575" t="str">
            <v>MB591448A</v>
          </cell>
          <cell r="E575" t="str">
            <v xml:space="preserve"> ROOF RAIL,R/SIDE OTR RH</v>
          </cell>
          <cell r="I575">
            <v>1</v>
          </cell>
          <cell r="J575">
            <v>1</v>
          </cell>
          <cell r="K575">
            <v>1</v>
          </cell>
          <cell r="O575">
            <v>1</v>
          </cell>
          <cell r="Q575">
            <v>1</v>
          </cell>
          <cell r="S575">
            <v>1</v>
          </cell>
          <cell r="T575">
            <v>1</v>
          </cell>
          <cell r="V575">
            <v>1</v>
          </cell>
          <cell r="X575">
            <v>1</v>
          </cell>
          <cell r="Y575">
            <v>1</v>
          </cell>
          <cell r="Z575">
            <v>1</v>
          </cell>
          <cell r="AA575">
            <v>1</v>
          </cell>
          <cell r="AE575">
            <v>1</v>
          </cell>
          <cell r="AG575">
            <v>1</v>
          </cell>
          <cell r="AI575">
            <v>1</v>
          </cell>
          <cell r="AJ575">
            <v>1</v>
          </cell>
          <cell r="AK575">
            <v>1</v>
          </cell>
          <cell r="AQ575">
            <v>1</v>
          </cell>
          <cell r="AR575">
            <v>1</v>
          </cell>
          <cell r="AS575">
            <v>1</v>
          </cell>
          <cell r="AT575">
            <v>1</v>
          </cell>
          <cell r="AU575">
            <v>1</v>
          </cell>
          <cell r="AV575">
            <v>1</v>
          </cell>
          <cell r="AX575">
            <v>1</v>
          </cell>
          <cell r="AY575">
            <v>1</v>
          </cell>
          <cell r="AZ575" t="str">
            <v>B</v>
          </cell>
          <cell r="BA575" t="str">
            <v>화신테크</v>
          </cell>
          <cell r="BB575" t="str">
            <v>H50A17K</v>
          </cell>
          <cell r="BD575" t="str">
            <v>K545</v>
          </cell>
          <cell r="BI575">
            <v>888</v>
          </cell>
          <cell r="BJ575">
            <v>458</v>
          </cell>
          <cell r="BK575">
            <v>90</v>
          </cell>
          <cell r="BL575">
            <v>100</v>
          </cell>
          <cell r="BM575"/>
          <cell r="BN575"/>
          <cell r="BO575"/>
          <cell r="BP575"/>
          <cell r="BQ575"/>
          <cell r="BR575"/>
          <cell r="BS575"/>
          <cell r="BT575"/>
          <cell r="BU575"/>
          <cell r="BV575"/>
          <cell r="BW575"/>
          <cell r="BX575"/>
          <cell r="BY575"/>
          <cell r="BZ575"/>
          <cell r="CA575"/>
          <cell r="CB575"/>
          <cell r="CC575"/>
          <cell r="CD575"/>
          <cell r="CE575"/>
          <cell r="CF575"/>
          <cell r="CG575"/>
          <cell r="CH575"/>
          <cell r="CI575"/>
          <cell r="CJ575"/>
          <cell r="CK575"/>
          <cell r="CL575"/>
          <cell r="CM575"/>
          <cell r="CN575"/>
          <cell r="CO575"/>
          <cell r="CP575"/>
          <cell r="CQ575"/>
        </row>
        <row r="576">
          <cell r="C576">
            <v>589</v>
          </cell>
          <cell r="D576" t="str">
            <v>HG300001</v>
          </cell>
          <cell r="E576" t="str">
            <v xml:space="preserve"> PANEL,B/DR,INR </v>
          </cell>
          <cell r="H576">
            <v>1</v>
          </cell>
          <cell r="I576">
            <v>1</v>
          </cell>
          <cell r="R576">
            <v>1</v>
          </cell>
          <cell r="AB576">
            <v>1</v>
          </cell>
          <cell r="AC576">
            <v>1</v>
          </cell>
          <cell r="AF576">
            <v>1</v>
          </cell>
          <cell r="AG576">
            <v>1</v>
          </cell>
          <cell r="AH576"/>
          <cell r="AI576"/>
          <cell r="AJ576"/>
          <cell r="AK576"/>
          <cell r="AL576"/>
          <cell r="AM576"/>
          <cell r="AN576"/>
          <cell r="AO576"/>
          <cell r="AP576"/>
          <cell r="AQ576"/>
          <cell r="AR576"/>
          <cell r="AS576"/>
          <cell r="AT576"/>
          <cell r="AU576"/>
          <cell r="AV576"/>
          <cell r="AW576"/>
          <cell r="AX576"/>
          <cell r="AY576"/>
          <cell r="AZ576" t="str">
            <v>B</v>
          </cell>
          <cell r="BA576" t="str">
            <v>HMC</v>
          </cell>
          <cell r="BB576" t="str">
            <v>H50B33K</v>
          </cell>
          <cell r="BC576"/>
          <cell r="BD576" t="str">
            <v>L475</v>
          </cell>
          <cell r="BE576" t="str">
            <v>STD</v>
          </cell>
          <cell r="BF576"/>
          <cell r="BG576"/>
          <cell r="BH576"/>
          <cell r="BI576">
            <v>20</v>
          </cell>
          <cell r="BJ576">
            <v>539</v>
          </cell>
          <cell r="BK576">
            <v>0</v>
          </cell>
          <cell r="BL576">
            <v>0</v>
          </cell>
          <cell r="BM576"/>
          <cell r="BN576"/>
          <cell r="BO576"/>
          <cell r="BP576"/>
          <cell r="BQ576"/>
          <cell r="BR576"/>
          <cell r="BS576"/>
          <cell r="BT576"/>
          <cell r="BU576"/>
          <cell r="BV576"/>
          <cell r="BW576"/>
          <cell r="BX576"/>
          <cell r="BY576"/>
          <cell r="BZ576"/>
          <cell r="CA576"/>
          <cell r="CB576"/>
          <cell r="CC576"/>
          <cell r="CD576"/>
          <cell r="CE576"/>
          <cell r="CF576"/>
          <cell r="CG576"/>
          <cell r="CH576"/>
          <cell r="CI576"/>
          <cell r="CJ576"/>
          <cell r="CK576"/>
          <cell r="CL576"/>
          <cell r="CM576"/>
          <cell r="CN576"/>
          <cell r="CO576"/>
        </row>
        <row r="577">
          <cell r="C577">
            <v>1995</v>
          </cell>
          <cell r="D577" t="str">
            <v>HG300002</v>
          </cell>
          <cell r="E577" t="str">
            <v xml:space="preserve"> PANEL,B/DR,INR </v>
          </cell>
          <cell r="J577">
            <v>1</v>
          </cell>
          <cell r="K577">
            <v>1</v>
          </cell>
          <cell r="L577">
            <v>1</v>
          </cell>
          <cell r="M577">
            <v>1</v>
          </cell>
          <cell r="N577">
            <v>1</v>
          </cell>
          <cell r="O577">
            <v>1</v>
          </cell>
          <cell r="P577">
            <v>1</v>
          </cell>
          <cell r="Q577">
            <v>1</v>
          </cell>
          <cell r="S577">
            <v>1</v>
          </cell>
          <cell r="T577">
            <v>1</v>
          </cell>
          <cell r="U577">
            <v>1</v>
          </cell>
          <cell r="V577">
            <v>1</v>
          </cell>
          <cell r="W577">
            <v>1</v>
          </cell>
          <cell r="X577">
            <v>1</v>
          </cell>
          <cell r="Y577">
            <v>1</v>
          </cell>
          <cell r="Z577">
            <v>1</v>
          </cell>
          <cell r="AA577">
            <v>1</v>
          </cell>
          <cell r="AD577">
            <v>1</v>
          </cell>
          <cell r="AE577">
            <v>1</v>
          </cell>
          <cell r="AH577">
            <v>1</v>
          </cell>
          <cell r="AI577">
            <v>1</v>
          </cell>
          <cell r="AJ577">
            <v>1</v>
          </cell>
          <cell r="AK577">
            <v>1</v>
          </cell>
          <cell r="AL577">
            <v>1</v>
          </cell>
          <cell r="AM577">
            <v>1</v>
          </cell>
          <cell r="AN577">
            <v>1</v>
          </cell>
          <cell r="AO577">
            <v>1</v>
          </cell>
          <cell r="AP577">
            <v>1</v>
          </cell>
          <cell r="AQ577">
            <v>1</v>
          </cell>
          <cell r="AR577">
            <v>1</v>
          </cell>
          <cell r="AS577">
            <v>1</v>
          </cell>
          <cell r="AT577">
            <v>1</v>
          </cell>
          <cell r="AU577">
            <v>1</v>
          </cell>
          <cell r="AV577">
            <v>1</v>
          </cell>
          <cell r="AW577">
            <v>1</v>
          </cell>
          <cell r="AX577">
            <v>1</v>
          </cell>
          <cell r="AY577">
            <v>1</v>
          </cell>
          <cell r="AZ577" t="str">
            <v>B</v>
          </cell>
          <cell r="BA577" t="str">
            <v>HMC</v>
          </cell>
          <cell r="BB577" t="str">
            <v>H50B33K</v>
          </cell>
          <cell r="BD577" t="str">
            <v>L475</v>
          </cell>
          <cell r="BI577">
            <v>917</v>
          </cell>
          <cell r="BJ577">
            <v>458</v>
          </cell>
          <cell r="BK577">
            <v>118</v>
          </cell>
          <cell r="BL577">
            <v>102</v>
          </cell>
          <cell r="BM577"/>
          <cell r="BN577"/>
          <cell r="BO577"/>
          <cell r="BP577"/>
          <cell r="BQ577"/>
          <cell r="BR577"/>
          <cell r="BS577"/>
          <cell r="BT577"/>
          <cell r="BU577"/>
          <cell r="BV577"/>
          <cell r="BW577"/>
          <cell r="BX577"/>
          <cell r="BY577"/>
          <cell r="BZ577"/>
          <cell r="CA577"/>
          <cell r="CB577"/>
          <cell r="CC577"/>
          <cell r="CD577"/>
          <cell r="CE577"/>
          <cell r="CF577"/>
          <cell r="CG577"/>
          <cell r="CH577"/>
          <cell r="CI577"/>
          <cell r="CJ577"/>
          <cell r="CK577"/>
          <cell r="CL577"/>
          <cell r="CM577"/>
          <cell r="CN577"/>
          <cell r="CO577"/>
          <cell r="CP577"/>
          <cell r="CQ577"/>
        </row>
        <row r="578">
          <cell r="C578">
            <v>2087</v>
          </cell>
          <cell r="D578" t="str">
            <v>HQ503115</v>
          </cell>
          <cell r="E578" t="str">
            <v xml:space="preserve"> PNL FR DR OTR LH</v>
          </cell>
          <cell r="F578" t="str">
            <v>-661B</v>
          </cell>
          <cell r="H578">
            <v>1</v>
          </cell>
          <cell r="I578">
            <v>1</v>
          </cell>
          <cell r="J578">
            <v>1</v>
          </cell>
          <cell r="K578">
            <v>1</v>
          </cell>
          <cell r="L578">
            <v>1</v>
          </cell>
          <cell r="M578">
            <v>1</v>
          </cell>
          <cell r="N578">
            <v>1</v>
          </cell>
          <cell r="O578">
            <v>1</v>
          </cell>
          <cell r="R578">
            <v>1</v>
          </cell>
          <cell r="S578">
            <v>1</v>
          </cell>
          <cell r="T578">
            <v>1</v>
          </cell>
          <cell r="U578">
            <v>1</v>
          </cell>
          <cell r="V578">
            <v>1</v>
          </cell>
          <cell r="Y578">
            <v>1</v>
          </cell>
          <cell r="Z578">
            <v>1</v>
          </cell>
          <cell r="AA578">
            <v>1</v>
          </cell>
          <cell r="AB578">
            <v>1</v>
          </cell>
          <cell r="AC578">
            <v>1</v>
          </cell>
          <cell r="AD578">
            <v>1</v>
          </cell>
          <cell r="AE578">
            <v>1</v>
          </cell>
          <cell r="AF578">
            <v>1</v>
          </cell>
          <cell r="AG578">
            <v>1</v>
          </cell>
          <cell r="AH578">
            <v>1</v>
          </cell>
          <cell r="AI578">
            <v>1</v>
          </cell>
          <cell r="AJ578">
            <v>1</v>
          </cell>
          <cell r="AK578">
            <v>1</v>
          </cell>
          <cell r="AL578">
            <v>1</v>
          </cell>
          <cell r="AM578">
            <v>1</v>
          </cell>
          <cell r="AN578">
            <v>1</v>
          </cell>
          <cell r="AO578">
            <v>1</v>
          </cell>
          <cell r="AP578"/>
          <cell r="AQ578">
            <v>1</v>
          </cell>
          <cell r="AR578">
            <v>1</v>
          </cell>
          <cell r="AS578">
            <v>1</v>
          </cell>
          <cell r="AT578"/>
          <cell r="AU578">
            <v>1</v>
          </cell>
          <cell r="AV578">
            <v>1</v>
          </cell>
          <cell r="AW578">
            <v>1</v>
          </cell>
          <cell r="AX578">
            <v>1</v>
          </cell>
          <cell r="AY578">
            <v>1</v>
          </cell>
          <cell r="AZ578" t="str">
            <v>B</v>
          </cell>
          <cell r="BA578" t="str">
            <v>HMC</v>
          </cell>
          <cell r="BB578" t="str">
            <v>H50B31K</v>
          </cell>
          <cell r="BC578" t="str">
            <v>MB365295B</v>
          </cell>
          <cell r="BD578" t="str">
            <v>L475</v>
          </cell>
          <cell r="BI578">
            <v>671</v>
          </cell>
          <cell r="BJ578">
            <v>995</v>
          </cell>
          <cell r="BK578">
            <v>118</v>
          </cell>
          <cell r="BL578">
            <v>102</v>
          </cell>
          <cell r="BM578"/>
          <cell r="BN578"/>
          <cell r="BO578"/>
          <cell r="BP578"/>
          <cell r="BQ578"/>
          <cell r="BR578"/>
          <cell r="BS578"/>
          <cell r="BT578"/>
          <cell r="BU578"/>
          <cell r="BV578"/>
          <cell r="BW578"/>
          <cell r="BX578"/>
          <cell r="BY578"/>
          <cell r="BZ578"/>
          <cell r="CA578"/>
          <cell r="CB578"/>
          <cell r="CC578"/>
          <cell r="CD578"/>
          <cell r="CE578"/>
          <cell r="CF578"/>
          <cell r="CG578"/>
          <cell r="CH578"/>
          <cell r="CI578"/>
          <cell r="CJ578"/>
        </row>
        <row r="579">
          <cell r="C579">
            <v>2087</v>
          </cell>
          <cell r="D579" t="str">
            <v>HQ503116</v>
          </cell>
          <cell r="E579" t="str">
            <v xml:space="preserve"> PNL FR DR OTR RH</v>
          </cell>
          <cell r="F579" t="str">
            <v>-661B</v>
          </cell>
          <cell r="H579">
            <v>1</v>
          </cell>
          <cell r="I579">
            <v>1</v>
          </cell>
          <cell r="J579">
            <v>1</v>
          </cell>
          <cell r="K579">
            <v>1</v>
          </cell>
          <cell r="L579">
            <v>1</v>
          </cell>
          <cell r="M579">
            <v>1</v>
          </cell>
          <cell r="N579">
            <v>1</v>
          </cell>
          <cell r="O579">
            <v>1</v>
          </cell>
          <cell r="R579">
            <v>1</v>
          </cell>
          <cell r="S579">
            <v>1</v>
          </cell>
          <cell r="T579">
            <v>1</v>
          </cell>
          <cell r="U579">
            <v>1</v>
          </cell>
          <cell r="V579">
            <v>1</v>
          </cell>
          <cell r="Y579">
            <v>1</v>
          </cell>
          <cell r="Z579">
            <v>1</v>
          </cell>
          <cell r="AA579">
            <v>1</v>
          </cell>
          <cell r="AB579">
            <v>1</v>
          </cell>
          <cell r="AC579">
            <v>1</v>
          </cell>
          <cell r="AD579">
            <v>1</v>
          </cell>
          <cell r="AE579">
            <v>1</v>
          </cell>
          <cell r="AF579">
            <v>1</v>
          </cell>
          <cell r="AG579">
            <v>1</v>
          </cell>
          <cell r="AH579">
            <v>1</v>
          </cell>
          <cell r="AI579">
            <v>1</v>
          </cell>
          <cell r="AJ579">
            <v>1</v>
          </cell>
          <cell r="AK579">
            <v>1</v>
          </cell>
          <cell r="AL579">
            <v>1</v>
          </cell>
          <cell r="AM579">
            <v>1</v>
          </cell>
          <cell r="AN579">
            <v>1</v>
          </cell>
          <cell r="AO579">
            <v>1</v>
          </cell>
          <cell r="AP579"/>
          <cell r="AQ579">
            <v>1</v>
          </cell>
          <cell r="AR579">
            <v>1</v>
          </cell>
          <cell r="AS579">
            <v>1</v>
          </cell>
          <cell r="AT579"/>
          <cell r="AU579">
            <v>1</v>
          </cell>
          <cell r="AV579">
            <v>1</v>
          </cell>
          <cell r="AW579">
            <v>1</v>
          </cell>
          <cell r="AX579">
            <v>1</v>
          </cell>
          <cell r="AY579">
            <v>1</v>
          </cell>
          <cell r="AZ579" t="str">
            <v>B</v>
          </cell>
          <cell r="BA579" t="str">
            <v>HMC</v>
          </cell>
          <cell r="BB579" t="str">
            <v>H50B31K</v>
          </cell>
          <cell r="BC579" t="str">
            <v>MB365296B</v>
          </cell>
          <cell r="BD579" t="str">
            <v>L475</v>
          </cell>
          <cell r="BI579">
            <v>671</v>
          </cell>
          <cell r="BJ579">
            <v>995</v>
          </cell>
          <cell r="BK579">
            <v>118</v>
          </cell>
          <cell r="BL579">
            <v>102</v>
          </cell>
          <cell r="BM579"/>
          <cell r="BN579"/>
          <cell r="BO579"/>
          <cell r="BP579"/>
          <cell r="BQ579"/>
          <cell r="BR579"/>
          <cell r="BS579"/>
          <cell r="BT579"/>
          <cell r="BU579"/>
          <cell r="BV579"/>
          <cell r="BW579"/>
          <cell r="BX579"/>
          <cell r="BY579"/>
          <cell r="BZ579"/>
          <cell r="CA579"/>
          <cell r="CB579"/>
          <cell r="CC579"/>
          <cell r="CD579"/>
          <cell r="CE579"/>
          <cell r="CF579"/>
          <cell r="CG579"/>
          <cell r="CH579"/>
          <cell r="CI579"/>
          <cell r="CJ579"/>
        </row>
        <row r="580">
          <cell r="C580">
            <v>2584</v>
          </cell>
          <cell r="D580" t="str">
            <v>HQ503117</v>
          </cell>
          <cell r="E580" t="str">
            <v xml:space="preserve"> PNL FR DR INR LH</v>
          </cell>
          <cell r="G580">
            <v>1</v>
          </cell>
          <cell r="AZ580" t="str">
            <v>B</v>
          </cell>
          <cell r="BA580" t="str">
            <v>HMC</v>
          </cell>
          <cell r="BB580" t="str">
            <v>H50B31K</v>
          </cell>
          <cell r="BC580" t="str">
            <v>MB422985A</v>
          </cell>
          <cell r="BD580" t="str">
            <v>L475</v>
          </cell>
          <cell r="BI580">
            <v>0</v>
          </cell>
          <cell r="BJ580">
            <v>0</v>
          </cell>
          <cell r="BK580">
            <v>0</v>
          </cell>
          <cell r="BL580">
            <v>0</v>
          </cell>
          <cell r="BM580"/>
          <cell r="BN580"/>
          <cell r="BO580"/>
          <cell r="BP580"/>
          <cell r="BQ580"/>
          <cell r="BR580"/>
          <cell r="BS580"/>
          <cell r="BT580"/>
          <cell r="BU580"/>
          <cell r="BV580"/>
          <cell r="BW580"/>
          <cell r="BX580"/>
          <cell r="BY580"/>
          <cell r="BZ580"/>
          <cell r="CA580"/>
          <cell r="CB580"/>
          <cell r="CC580"/>
          <cell r="CD580"/>
          <cell r="CE580"/>
          <cell r="CF580"/>
          <cell r="CG580"/>
          <cell r="CH580"/>
          <cell r="CI580"/>
          <cell r="CJ580"/>
        </row>
        <row r="581">
          <cell r="C581">
            <v>2584</v>
          </cell>
          <cell r="D581" t="str">
            <v>HQ503118</v>
          </cell>
          <cell r="E581" t="str">
            <v xml:space="preserve"> PNL FR DR INR RH</v>
          </cell>
          <cell r="G581">
            <v>1</v>
          </cell>
          <cell r="AZ581" t="str">
            <v>B</v>
          </cell>
          <cell r="BA581" t="str">
            <v>HMC</v>
          </cell>
          <cell r="BB581" t="str">
            <v>H50B31K</v>
          </cell>
          <cell r="BC581" t="str">
            <v>MB422986A</v>
          </cell>
          <cell r="BD581" t="str">
            <v>L475</v>
          </cell>
          <cell r="BI581">
            <v>0</v>
          </cell>
          <cell r="BJ581">
            <v>0</v>
          </cell>
          <cell r="BK581">
            <v>0</v>
          </cell>
          <cell r="BL581">
            <v>0</v>
          </cell>
          <cell r="BM581"/>
          <cell r="BN581"/>
          <cell r="BO581"/>
          <cell r="BP581"/>
          <cell r="BQ581"/>
          <cell r="BR581"/>
          <cell r="BS581"/>
          <cell r="BT581"/>
          <cell r="BU581"/>
          <cell r="BV581"/>
          <cell r="BW581"/>
          <cell r="BX581"/>
          <cell r="BY581"/>
          <cell r="BZ581"/>
          <cell r="CA581"/>
          <cell r="CB581"/>
          <cell r="CC581"/>
          <cell r="CD581"/>
          <cell r="CE581"/>
          <cell r="CF581"/>
          <cell r="CG581"/>
          <cell r="CH581"/>
          <cell r="CI581"/>
          <cell r="CJ581"/>
        </row>
        <row r="582">
          <cell r="C582">
            <v>1155</v>
          </cell>
          <cell r="D582" t="str">
            <v>HQ503125</v>
          </cell>
          <cell r="E582" t="str">
            <v xml:space="preserve"> PNL FR DR OTR LH</v>
          </cell>
          <cell r="F582" t="str">
            <v>+661B</v>
          </cell>
          <cell r="K582">
            <v>1</v>
          </cell>
          <cell r="M582">
            <v>1</v>
          </cell>
          <cell r="N582">
            <v>1</v>
          </cell>
          <cell r="O582">
            <v>1</v>
          </cell>
          <cell r="P582">
            <v>1</v>
          </cell>
          <cell r="Q582">
            <v>1</v>
          </cell>
          <cell r="W582">
            <v>1</v>
          </cell>
          <cell r="X582">
            <v>1</v>
          </cell>
          <cell r="AD582">
            <v>1</v>
          </cell>
          <cell r="AE582">
            <v>1</v>
          </cell>
          <cell r="AH582">
            <v>1</v>
          </cell>
          <cell r="AI582">
            <v>1</v>
          </cell>
          <cell r="AO582">
            <v>1</v>
          </cell>
          <cell r="AP582">
            <v>1</v>
          </cell>
          <cell r="AS582">
            <v>1</v>
          </cell>
          <cell r="AT582">
            <v>1</v>
          </cell>
          <cell r="AW582">
            <v>1</v>
          </cell>
          <cell r="AZ582" t="str">
            <v>B</v>
          </cell>
          <cell r="BA582" t="str">
            <v>HMC</v>
          </cell>
          <cell r="BB582" t="str">
            <v>H50B31K</v>
          </cell>
          <cell r="BC582" t="str">
            <v>MB365295B</v>
          </cell>
          <cell r="BD582" t="str">
            <v>L475</v>
          </cell>
          <cell r="BI582">
            <v>684</v>
          </cell>
          <cell r="BJ582">
            <v>2</v>
          </cell>
          <cell r="BK582">
            <v>61</v>
          </cell>
          <cell r="BL582">
            <v>31</v>
          </cell>
          <cell r="BM582"/>
          <cell r="BN582"/>
          <cell r="BO582"/>
          <cell r="BP582"/>
          <cell r="BQ582"/>
          <cell r="BR582"/>
          <cell r="BS582"/>
          <cell r="BT582"/>
          <cell r="BU582"/>
          <cell r="BV582"/>
          <cell r="BW582"/>
          <cell r="BX582"/>
          <cell r="BY582"/>
          <cell r="BZ582"/>
          <cell r="CA582"/>
          <cell r="CB582"/>
          <cell r="CC582"/>
          <cell r="CD582"/>
          <cell r="CE582"/>
          <cell r="CF582"/>
          <cell r="CG582"/>
          <cell r="CH582"/>
          <cell r="CI582"/>
          <cell r="CJ582"/>
          <cell r="CK582"/>
          <cell r="CL582"/>
          <cell r="CM582"/>
          <cell r="CN582"/>
          <cell r="CO582"/>
          <cell r="CP582"/>
          <cell r="CQ582"/>
        </row>
        <row r="583">
          <cell r="C583">
            <v>1155</v>
          </cell>
          <cell r="D583" t="str">
            <v>HQ503126</v>
          </cell>
          <cell r="E583" t="str">
            <v xml:space="preserve"> PNL FR DR OTR RH</v>
          </cell>
          <cell r="F583" t="str">
            <v>+661B</v>
          </cell>
          <cell r="K583">
            <v>1</v>
          </cell>
          <cell r="M583">
            <v>1</v>
          </cell>
          <cell r="N583">
            <v>1</v>
          </cell>
          <cell r="O583">
            <v>1</v>
          </cell>
          <cell r="P583">
            <v>1</v>
          </cell>
          <cell r="Q583">
            <v>1</v>
          </cell>
          <cell r="W583">
            <v>1</v>
          </cell>
          <cell r="X583">
            <v>1</v>
          </cell>
          <cell r="AD583">
            <v>1</v>
          </cell>
          <cell r="AE583">
            <v>1</v>
          </cell>
          <cell r="AH583">
            <v>1</v>
          </cell>
          <cell r="AI583">
            <v>1</v>
          </cell>
          <cell r="AO583">
            <v>1</v>
          </cell>
          <cell r="AP583">
            <v>1</v>
          </cell>
          <cell r="AS583">
            <v>1</v>
          </cell>
          <cell r="AT583">
            <v>1</v>
          </cell>
          <cell r="AW583">
            <v>1</v>
          </cell>
          <cell r="AZ583" t="str">
            <v>B</v>
          </cell>
          <cell r="BA583" t="str">
            <v>HMC</v>
          </cell>
          <cell r="BB583" t="str">
            <v>H50B31K</v>
          </cell>
          <cell r="BC583" t="str">
            <v>MB365296B</v>
          </cell>
          <cell r="BD583" t="str">
            <v>L475</v>
          </cell>
          <cell r="BI583">
            <v>684</v>
          </cell>
          <cell r="BJ583">
            <v>2</v>
          </cell>
          <cell r="BK583">
            <v>61</v>
          </cell>
          <cell r="BL583">
            <v>31</v>
          </cell>
          <cell r="BM583"/>
          <cell r="BN583"/>
          <cell r="BO583"/>
          <cell r="BP583"/>
          <cell r="BQ583"/>
          <cell r="BR583"/>
          <cell r="BS583"/>
          <cell r="BT583"/>
          <cell r="BU583"/>
          <cell r="BV583"/>
          <cell r="BW583"/>
          <cell r="BX583"/>
          <cell r="BY583"/>
          <cell r="BZ583"/>
          <cell r="CA583"/>
          <cell r="CB583"/>
          <cell r="CC583"/>
          <cell r="CD583"/>
          <cell r="CE583"/>
          <cell r="CF583"/>
          <cell r="CG583"/>
          <cell r="CH583"/>
          <cell r="CI583"/>
          <cell r="CJ583"/>
          <cell r="CK583"/>
          <cell r="CL583"/>
          <cell r="CM583"/>
          <cell r="CN583"/>
          <cell r="CO583"/>
          <cell r="CP583"/>
          <cell r="CQ583"/>
        </row>
        <row r="584">
          <cell r="C584">
            <v>1892</v>
          </cell>
          <cell r="D584" t="str">
            <v>HQ503201</v>
          </cell>
          <cell r="E584" t="str">
            <v xml:space="preserve"> PNL RR DR INR LH</v>
          </cell>
          <cell r="I584">
            <v>1</v>
          </cell>
          <cell r="J584">
            <v>1</v>
          </cell>
          <cell r="K584">
            <v>1</v>
          </cell>
          <cell r="O584">
            <v>1</v>
          </cell>
          <cell r="Q584">
            <v>1</v>
          </cell>
          <cell r="S584">
            <v>1</v>
          </cell>
          <cell r="T584">
            <v>1</v>
          </cell>
          <cell r="V584">
            <v>1</v>
          </cell>
          <cell r="X584">
            <v>1</v>
          </cell>
          <cell r="Y584">
            <v>1</v>
          </cell>
          <cell r="Z584">
            <v>1</v>
          </cell>
          <cell r="AA584">
            <v>1</v>
          </cell>
          <cell r="AE584">
            <v>1</v>
          </cell>
          <cell r="AG584">
            <v>1</v>
          </cell>
          <cell r="AI584">
            <v>1</v>
          </cell>
          <cell r="AJ584">
            <v>1</v>
          </cell>
          <cell r="AK584">
            <v>1</v>
          </cell>
          <cell r="AQ584">
            <v>1</v>
          </cell>
          <cell r="AR584">
            <v>1</v>
          </cell>
          <cell r="AS584">
            <v>1</v>
          </cell>
          <cell r="AT584">
            <v>1</v>
          </cell>
          <cell r="AU584">
            <v>1</v>
          </cell>
          <cell r="AV584">
            <v>1</v>
          </cell>
          <cell r="AX584">
            <v>1</v>
          </cell>
          <cell r="AY584">
            <v>1</v>
          </cell>
          <cell r="AZ584" t="str">
            <v>B</v>
          </cell>
          <cell r="BA584" t="str">
            <v>HMC</v>
          </cell>
          <cell r="BB584" t="str">
            <v>H50B32K</v>
          </cell>
          <cell r="BC584" t="str">
            <v>MB320007B</v>
          </cell>
          <cell r="BD584" t="str">
            <v>L475</v>
          </cell>
          <cell r="BI584">
            <v>888</v>
          </cell>
          <cell r="BJ584">
            <v>458</v>
          </cell>
          <cell r="BK584">
            <v>90</v>
          </cell>
          <cell r="BL584">
            <v>100</v>
          </cell>
          <cell r="BM584"/>
          <cell r="BN584"/>
          <cell r="BO584"/>
          <cell r="BP584"/>
          <cell r="BQ584"/>
          <cell r="BR584"/>
          <cell r="BS584"/>
          <cell r="BT584"/>
          <cell r="BU584"/>
          <cell r="BV584"/>
          <cell r="BW584"/>
          <cell r="BX584"/>
          <cell r="BY584"/>
          <cell r="BZ584"/>
          <cell r="CA584"/>
          <cell r="CB584"/>
          <cell r="CC584"/>
          <cell r="CD584"/>
          <cell r="CE584"/>
          <cell r="CF584"/>
          <cell r="CG584"/>
          <cell r="CH584"/>
          <cell r="CI584"/>
          <cell r="CJ584"/>
          <cell r="CK584"/>
          <cell r="CL584"/>
          <cell r="CM584"/>
          <cell r="CN584"/>
          <cell r="CO584"/>
          <cell r="CP584"/>
          <cell r="CQ584"/>
        </row>
        <row r="585">
          <cell r="C585">
            <v>1892</v>
          </cell>
          <cell r="D585" t="str">
            <v>HQ503202</v>
          </cell>
          <cell r="E585" t="str">
            <v xml:space="preserve"> PNL RR DR INR RH</v>
          </cell>
          <cell r="I585">
            <v>1</v>
          </cell>
          <cell r="J585">
            <v>1</v>
          </cell>
          <cell r="K585">
            <v>1</v>
          </cell>
          <cell r="O585">
            <v>1</v>
          </cell>
          <cell r="Q585">
            <v>1</v>
          </cell>
          <cell r="S585">
            <v>1</v>
          </cell>
          <cell r="T585">
            <v>1</v>
          </cell>
          <cell r="V585">
            <v>1</v>
          </cell>
          <cell r="X585">
            <v>1</v>
          </cell>
          <cell r="Y585">
            <v>1</v>
          </cell>
          <cell r="Z585">
            <v>1</v>
          </cell>
          <cell r="AA585">
            <v>1</v>
          </cell>
          <cell r="AE585">
            <v>1</v>
          </cell>
          <cell r="AG585">
            <v>1</v>
          </cell>
          <cell r="AI585">
            <v>1</v>
          </cell>
          <cell r="AJ585">
            <v>1</v>
          </cell>
          <cell r="AK585">
            <v>1</v>
          </cell>
          <cell r="AQ585">
            <v>1</v>
          </cell>
          <cell r="AR585">
            <v>1</v>
          </cell>
          <cell r="AS585">
            <v>1</v>
          </cell>
          <cell r="AT585">
            <v>1</v>
          </cell>
          <cell r="AU585">
            <v>1</v>
          </cell>
          <cell r="AV585">
            <v>1</v>
          </cell>
          <cell r="AX585">
            <v>1</v>
          </cell>
          <cell r="AY585">
            <v>1</v>
          </cell>
          <cell r="AZ585" t="str">
            <v>B</v>
          </cell>
          <cell r="BA585" t="str">
            <v>HMC</v>
          </cell>
          <cell r="BB585" t="str">
            <v>H50B32K</v>
          </cell>
          <cell r="BC585" t="str">
            <v>MB320008B</v>
          </cell>
          <cell r="BD585" t="str">
            <v>L475</v>
          </cell>
          <cell r="BI585">
            <v>888</v>
          </cell>
          <cell r="BJ585">
            <v>458</v>
          </cell>
          <cell r="BK585">
            <v>90</v>
          </cell>
          <cell r="BL585">
            <v>100</v>
          </cell>
          <cell r="BM585"/>
          <cell r="BN585"/>
          <cell r="BO585"/>
          <cell r="BP585"/>
          <cell r="BQ585"/>
          <cell r="BR585"/>
          <cell r="BS585"/>
          <cell r="BT585"/>
          <cell r="BU585"/>
          <cell r="BV585"/>
          <cell r="BW585"/>
          <cell r="BX585"/>
          <cell r="BY585"/>
          <cell r="BZ585"/>
          <cell r="CA585"/>
          <cell r="CB585"/>
          <cell r="CC585"/>
          <cell r="CD585"/>
          <cell r="CE585"/>
          <cell r="CF585"/>
          <cell r="CG585"/>
          <cell r="CH585"/>
          <cell r="CI585"/>
          <cell r="CJ585"/>
          <cell r="CK585"/>
          <cell r="CL585"/>
          <cell r="CM585"/>
          <cell r="CN585"/>
          <cell r="CO585"/>
          <cell r="CP585"/>
          <cell r="CQ585"/>
        </row>
        <row r="586">
          <cell r="C586">
            <v>1052</v>
          </cell>
          <cell r="D586" t="str">
            <v>HQ503217</v>
          </cell>
          <cell r="E586" t="str">
            <v xml:space="preserve"> PNL R/DR OTR LH</v>
          </cell>
          <cell r="F586" t="str">
            <v>+661B</v>
          </cell>
          <cell r="K586">
            <v>1</v>
          </cell>
          <cell r="O586">
            <v>1</v>
          </cell>
          <cell r="Q586">
            <v>1</v>
          </cell>
          <cell r="X586">
            <v>1</v>
          </cell>
          <cell r="AE586">
            <v>1</v>
          </cell>
          <cell r="AI586">
            <v>1</v>
          </cell>
          <cell r="AS586">
            <v>1</v>
          </cell>
          <cell r="AT586">
            <v>1</v>
          </cell>
          <cell r="AZ586" t="str">
            <v>B</v>
          </cell>
          <cell r="BA586" t="str">
            <v>HMC</v>
          </cell>
          <cell r="BB586" t="str">
            <v>H50B32K</v>
          </cell>
          <cell r="BC586" t="str">
            <v>MB365297A</v>
          </cell>
          <cell r="BD586" t="str">
            <v>L475</v>
          </cell>
          <cell r="BI586">
            <v>635</v>
          </cell>
          <cell r="BJ586">
            <v>2</v>
          </cell>
          <cell r="BK586">
            <v>53</v>
          </cell>
          <cell r="BL586">
            <v>29</v>
          </cell>
          <cell r="BM586"/>
          <cell r="BN586"/>
          <cell r="BO586"/>
          <cell r="BP586"/>
          <cell r="BQ586"/>
          <cell r="BR586"/>
          <cell r="BS586"/>
          <cell r="BT586"/>
          <cell r="BU586"/>
          <cell r="BV586"/>
          <cell r="BW586"/>
          <cell r="BX586"/>
          <cell r="BY586"/>
          <cell r="BZ586"/>
          <cell r="CA586"/>
          <cell r="CB586"/>
          <cell r="CC586"/>
          <cell r="CD586"/>
          <cell r="CE586"/>
          <cell r="CF586"/>
          <cell r="CG586"/>
          <cell r="CH586"/>
          <cell r="CI586"/>
          <cell r="CJ586"/>
          <cell r="CK586"/>
          <cell r="CL586"/>
          <cell r="CM586"/>
          <cell r="CN586"/>
          <cell r="CO586"/>
          <cell r="CP586"/>
          <cell r="CQ586"/>
        </row>
        <row r="587">
          <cell r="C587">
            <v>1052</v>
          </cell>
          <cell r="D587" t="str">
            <v>HQ503218</v>
          </cell>
          <cell r="E587" t="str">
            <v xml:space="preserve"> PNL R/DR OTR RH</v>
          </cell>
          <cell r="F587" t="str">
            <v>+661B</v>
          </cell>
          <cell r="K587">
            <v>1</v>
          </cell>
          <cell r="O587">
            <v>1</v>
          </cell>
          <cell r="Q587">
            <v>1</v>
          </cell>
          <cell r="X587">
            <v>1</v>
          </cell>
          <cell r="AE587">
            <v>1</v>
          </cell>
          <cell r="AI587">
            <v>1</v>
          </cell>
          <cell r="AS587">
            <v>1</v>
          </cell>
          <cell r="AT587">
            <v>1</v>
          </cell>
          <cell r="AZ587" t="str">
            <v>B</v>
          </cell>
          <cell r="BA587" t="str">
            <v>HMC</v>
          </cell>
          <cell r="BB587" t="str">
            <v>H50B32K</v>
          </cell>
          <cell r="BC587" t="str">
            <v>MB365298A</v>
          </cell>
          <cell r="BD587" t="str">
            <v>L475</v>
          </cell>
          <cell r="BI587">
            <v>635</v>
          </cell>
          <cell r="BJ587">
            <v>2</v>
          </cell>
          <cell r="BK587">
            <v>53</v>
          </cell>
          <cell r="BL587">
            <v>29</v>
          </cell>
          <cell r="BM587"/>
          <cell r="BN587"/>
          <cell r="BO587"/>
          <cell r="BP587"/>
          <cell r="BQ587"/>
          <cell r="BR587"/>
          <cell r="BS587"/>
          <cell r="BT587"/>
          <cell r="BU587"/>
          <cell r="BV587"/>
          <cell r="BW587"/>
          <cell r="BX587"/>
          <cell r="BY587"/>
          <cell r="BZ587"/>
          <cell r="CA587"/>
          <cell r="CB587"/>
          <cell r="CC587"/>
          <cell r="CD587"/>
          <cell r="CE587"/>
          <cell r="CF587"/>
          <cell r="CG587"/>
          <cell r="CH587"/>
          <cell r="CI587"/>
          <cell r="CJ587"/>
          <cell r="CK587"/>
          <cell r="CL587"/>
          <cell r="CM587"/>
          <cell r="CN587"/>
          <cell r="CO587"/>
          <cell r="CP587"/>
          <cell r="CQ587"/>
        </row>
        <row r="588">
          <cell r="C588">
            <v>103</v>
          </cell>
          <cell r="D588" t="str">
            <v>HQ505131</v>
          </cell>
          <cell r="E588" t="str">
            <v xml:space="preserve"> PAN,FR FLOOR</v>
          </cell>
          <cell r="F588" t="str">
            <v>+431</v>
          </cell>
          <cell r="M588">
            <v>1</v>
          </cell>
          <cell r="N588">
            <v>1</v>
          </cell>
          <cell r="P588">
            <v>1</v>
          </cell>
          <cell r="W588">
            <v>1</v>
          </cell>
          <cell r="AD588">
            <v>1</v>
          </cell>
          <cell r="AH588">
            <v>1</v>
          </cell>
          <cell r="AO588">
            <v>1</v>
          </cell>
          <cell r="AP588">
            <v>1</v>
          </cell>
          <cell r="AW588">
            <v>1</v>
          </cell>
          <cell r="AZ588" t="str">
            <v>B</v>
          </cell>
          <cell r="BA588" t="str">
            <v>HMC</v>
          </cell>
          <cell r="BB588" t="str">
            <v>H50A11K</v>
          </cell>
          <cell r="BC588" t="str">
            <v>HC000113</v>
          </cell>
          <cell r="BD588" t="str">
            <v>L475</v>
          </cell>
          <cell r="BI588">
            <v>49</v>
          </cell>
          <cell r="BJ588">
            <v>0</v>
          </cell>
          <cell r="BK588">
            <v>8</v>
          </cell>
          <cell r="BL588">
            <v>2</v>
          </cell>
          <cell r="BM588"/>
          <cell r="BN588"/>
          <cell r="BO588"/>
          <cell r="BP588"/>
          <cell r="BQ588"/>
          <cell r="BR588"/>
          <cell r="BS588"/>
          <cell r="BT588"/>
          <cell r="BU588"/>
          <cell r="BV588"/>
          <cell r="BW588"/>
          <cell r="BX588"/>
          <cell r="BY588"/>
          <cell r="BZ588"/>
          <cell r="CA588"/>
          <cell r="CB588"/>
          <cell r="CC588"/>
          <cell r="CD588"/>
          <cell r="CE588"/>
          <cell r="CF588"/>
          <cell r="CG588"/>
          <cell r="CH588"/>
          <cell r="CI588"/>
          <cell r="CJ588"/>
          <cell r="CK588"/>
          <cell r="CL588"/>
          <cell r="CM588"/>
          <cell r="CN588"/>
          <cell r="CO588"/>
          <cell r="CP588"/>
        </row>
        <row r="589">
          <cell r="C589">
            <v>1310</v>
          </cell>
          <cell r="D589" t="str">
            <v>HQ505132</v>
          </cell>
          <cell r="E589" t="str">
            <v xml:space="preserve"> PAN,FR FLOOR</v>
          </cell>
          <cell r="F589" t="str">
            <v>+431,</v>
          </cell>
          <cell r="K589">
            <v>1</v>
          </cell>
          <cell r="O589">
            <v>1</v>
          </cell>
          <cell r="Q589">
            <v>1</v>
          </cell>
          <cell r="T589">
            <v>1</v>
          </cell>
          <cell r="X589">
            <v>1</v>
          </cell>
          <cell r="Z589">
            <v>1</v>
          </cell>
          <cell r="AE589">
            <v>1</v>
          </cell>
          <cell r="AI589">
            <v>1</v>
          </cell>
          <cell r="AS589">
            <v>1</v>
          </cell>
          <cell r="AT589">
            <v>1</v>
          </cell>
          <cell r="AZ589" t="str">
            <v>B</v>
          </cell>
          <cell r="BA589" t="str">
            <v>HMC</v>
          </cell>
          <cell r="BB589" t="str">
            <v>H50A11K</v>
          </cell>
          <cell r="BC589" t="str">
            <v>HC000114</v>
          </cell>
          <cell r="BD589" t="str">
            <v>L475</v>
          </cell>
          <cell r="BI589">
            <v>635</v>
          </cell>
          <cell r="BJ589">
            <v>237</v>
          </cell>
          <cell r="BK589">
            <v>53</v>
          </cell>
          <cell r="BL589">
            <v>29</v>
          </cell>
          <cell r="BM589"/>
          <cell r="BN589"/>
          <cell r="BO589"/>
          <cell r="BP589"/>
          <cell r="BQ589"/>
          <cell r="BR589"/>
          <cell r="BS589"/>
          <cell r="BT589"/>
          <cell r="BU589"/>
          <cell r="BV589"/>
          <cell r="BW589"/>
          <cell r="BX589"/>
          <cell r="BY589"/>
          <cell r="BZ589"/>
          <cell r="CA589"/>
          <cell r="CB589"/>
          <cell r="CC589"/>
          <cell r="CD589"/>
          <cell r="CE589"/>
          <cell r="CF589"/>
          <cell r="CG589"/>
          <cell r="CH589"/>
          <cell r="CI589"/>
          <cell r="CJ589"/>
          <cell r="CK589"/>
          <cell r="CL589"/>
          <cell r="CM589"/>
          <cell r="CN589"/>
          <cell r="CO589"/>
          <cell r="CP589"/>
          <cell r="CQ589"/>
        </row>
        <row r="590">
          <cell r="C590">
            <v>692</v>
          </cell>
          <cell r="D590" t="str">
            <v>HQ505133</v>
          </cell>
          <cell r="E590" t="str">
            <v xml:space="preserve"> PAN,FR FLOOR</v>
          </cell>
          <cell r="F590" t="str">
            <v>P-P5-P7</v>
          </cell>
          <cell r="H590">
            <v>1</v>
          </cell>
          <cell r="L590">
            <v>1</v>
          </cell>
          <cell r="M590">
            <v>1</v>
          </cell>
          <cell r="N590">
            <v>1</v>
          </cell>
          <cell r="P590">
            <v>1</v>
          </cell>
          <cell r="R590">
            <v>1</v>
          </cell>
          <cell r="U590">
            <v>1</v>
          </cell>
          <cell r="W590">
            <v>1</v>
          </cell>
          <cell r="AB590">
            <v>1</v>
          </cell>
          <cell r="AC590">
            <v>1</v>
          </cell>
          <cell r="AD590">
            <v>1</v>
          </cell>
          <cell r="AF590">
            <v>1</v>
          </cell>
          <cell r="AG590"/>
          <cell r="AH590">
            <v>1</v>
          </cell>
          <cell r="AI590"/>
          <cell r="AJ590"/>
          <cell r="AK590"/>
          <cell r="AL590">
            <v>1</v>
          </cell>
          <cell r="AM590">
            <v>1</v>
          </cell>
          <cell r="AN590">
            <v>1</v>
          </cell>
          <cell r="AO590">
            <v>1</v>
          </cell>
          <cell r="AP590">
            <v>1</v>
          </cell>
          <cell r="AQ590"/>
          <cell r="AR590"/>
          <cell r="AS590"/>
          <cell r="AT590"/>
          <cell r="AU590"/>
          <cell r="AV590"/>
          <cell r="AW590">
            <v>1</v>
          </cell>
          <cell r="AX590"/>
          <cell r="AY590"/>
          <cell r="AZ590" t="str">
            <v>B</v>
          </cell>
          <cell r="BA590" t="str">
            <v>HMC</v>
          </cell>
          <cell r="BB590" t="str">
            <v>H50A11K</v>
          </cell>
          <cell r="BC590" t="str">
            <v>MB250000A</v>
          </cell>
          <cell r="BD590" t="str">
            <v>L475</v>
          </cell>
          <cell r="BE590"/>
          <cell r="BF590"/>
          <cell r="BG590"/>
          <cell r="BH590"/>
          <cell r="BI590">
            <v>49</v>
          </cell>
          <cell r="BJ590">
            <v>539</v>
          </cell>
          <cell r="BK590">
            <v>28</v>
          </cell>
          <cell r="BL590">
            <v>2</v>
          </cell>
          <cell r="BM590"/>
          <cell r="BN590"/>
          <cell r="BO590"/>
          <cell r="BP590"/>
          <cell r="BQ590"/>
          <cell r="BR590"/>
          <cell r="BS590"/>
          <cell r="BT590"/>
          <cell r="BU590"/>
          <cell r="BV590"/>
          <cell r="BW590"/>
          <cell r="BX590"/>
          <cell r="BY590"/>
          <cell r="BZ590"/>
          <cell r="CA590"/>
          <cell r="CB590"/>
          <cell r="CC590"/>
          <cell r="CD590"/>
          <cell r="CE590"/>
          <cell r="CF590"/>
          <cell r="CG590"/>
          <cell r="CH590"/>
          <cell r="CI590"/>
          <cell r="CJ590"/>
          <cell r="CK590"/>
          <cell r="CL590"/>
          <cell r="CM590"/>
          <cell r="CN590"/>
          <cell r="CO590"/>
          <cell r="CP590"/>
        </row>
        <row r="591">
          <cell r="C591">
            <v>1892</v>
          </cell>
          <cell r="D591" t="str">
            <v>HQ505134</v>
          </cell>
          <cell r="E591" t="str">
            <v xml:space="preserve"> PAN,FR FLOOR</v>
          </cell>
          <cell r="F591" t="str">
            <v>-431B</v>
          </cell>
          <cell r="I591">
            <v>1</v>
          </cell>
          <cell r="J591">
            <v>1</v>
          </cell>
          <cell r="K591">
            <v>1</v>
          </cell>
          <cell r="O591">
            <v>1</v>
          </cell>
          <cell r="Q591">
            <v>1</v>
          </cell>
          <cell r="S591">
            <v>1</v>
          </cell>
          <cell r="T591">
            <v>1</v>
          </cell>
          <cell r="V591">
            <v>1</v>
          </cell>
          <cell r="X591">
            <v>1</v>
          </cell>
          <cell r="Y591">
            <v>1</v>
          </cell>
          <cell r="Z591">
            <v>1</v>
          </cell>
          <cell r="AA591">
            <v>1</v>
          </cell>
          <cell r="AE591">
            <v>1</v>
          </cell>
          <cell r="AG591">
            <v>1</v>
          </cell>
          <cell r="AI591">
            <v>1</v>
          </cell>
          <cell r="AJ591">
            <v>1</v>
          </cell>
          <cell r="AK591">
            <v>1</v>
          </cell>
          <cell r="AQ591">
            <v>1</v>
          </cell>
          <cell r="AR591">
            <v>1</v>
          </cell>
          <cell r="AS591">
            <v>1</v>
          </cell>
          <cell r="AT591">
            <v>1</v>
          </cell>
          <cell r="AU591">
            <v>1</v>
          </cell>
          <cell r="AV591">
            <v>1</v>
          </cell>
          <cell r="AX591">
            <v>1</v>
          </cell>
          <cell r="AY591">
            <v>1</v>
          </cell>
          <cell r="AZ591" t="str">
            <v>B</v>
          </cell>
          <cell r="BA591" t="str">
            <v>HMC</v>
          </cell>
          <cell r="BB591" t="str">
            <v>H50A11K</v>
          </cell>
          <cell r="BC591" t="str">
            <v>MB275000A</v>
          </cell>
          <cell r="BD591" t="str">
            <v>L475</v>
          </cell>
          <cell r="BI591">
            <v>888</v>
          </cell>
          <cell r="BJ591">
            <v>458</v>
          </cell>
          <cell r="BK591">
            <v>90</v>
          </cell>
          <cell r="BL591">
            <v>100</v>
          </cell>
          <cell r="BM591"/>
          <cell r="BN591"/>
          <cell r="BO591"/>
          <cell r="BP591"/>
          <cell r="BQ591"/>
          <cell r="BR591"/>
          <cell r="BS591"/>
          <cell r="BT591"/>
          <cell r="BU591"/>
          <cell r="BV591"/>
          <cell r="BW591"/>
          <cell r="BX591"/>
          <cell r="BY591"/>
          <cell r="BZ591"/>
          <cell r="CA591"/>
          <cell r="CB591"/>
          <cell r="CC591"/>
          <cell r="CD591"/>
          <cell r="CE591"/>
          <cell r="CF591"/>
          <cell r="CG591"/>
          <cell r="CH591"/>
          <cell r="CI591"/>
          <cell r="CJ591"/>
          <cell r="CK591"/>
          <cell r="CL591"/>
          <cell r="CM591"/>
          <cell r="CN591"/>
          <cell r="CO591"/>
          <cell r="CP591"/>
          <cell r="CQ591"/>
        </row>
        <row r="592">
          <cell r="C592">
            <v>1892</v>
          </cell>
          <cell r="D592" t="str">
            <v>HQ505211</v>
          </cell>
          <cell r="E592" t="str">
            <v xml:space="preserve"> PNL,RR FLR</v>
          </cell>
          <cell r="F592" t="str">
            <v>-973B(R/H)</v>
          </cell>
          <cell r="I592">
            <v>1</v>
          </cell>
          <cell r="J592">
            <v>1</v>
          </cell>
          <cell r="K592">
            <v>1</v>
          </cell>
          <cell r="O592">
            <v>1</v>
          </cell>
          <cell r="Q592">
            <v>1</v>
          </cell>
          <cell r="S592">
            <v>1</v>
          </cell>
          <cell r="T592">
            <v>1</v>
          </cell>
          <cell r="V592">
            <v>1</v>
          </cell>
          <cell r="X592">
            <v>1</v>
          </cell>
          <cell r="Y592">
            <v>1</v>
          </cell>
          <cell r="Z592">
            <v>1</v>
          </cell>
          <cell r="AA592">
            <v>1</v>
          </cell>
          <cell r="AE592">
            <v>1</v>
          </cell>
          <cell r="AG592">
            <v>1</v>
          </cell>
          <cell r="AI592">
            <v>1</v>
          </cell>
          <cell r="AJ592">
            <v>1</v>
          </cell>
          <cell r="AK592">
            <v>1</v>
          </cell>
          <cell r="AQ592">
            <v>1</v>
          </cell>
          <cell r="AR592">
            <v>1</v>
          </cell>
          <cell r="AS592">
            <v>1</v>
          </cell>
          <cell r="AT592">
            <v>1</v>
          </cell>
          <cell r="AU592">
            <v>1</v>
          </cell>
          <cell r="AV592">
            <v>1</v>
          </cell>
          <cell r="AX592">
            <v>1</v>
          </cell>
          <cell r="AY592">
            <v>1</v>
          </cell>
          <cell r="AZ592" t="str">
            <v>B</v>
          </cell>
          <cell r="BA592" t="str">
            <v>HMC</v>
          </cell>
          <cell r="BB592" t="str">
            <v>H50A12K01-7,11-15,17</v>
          </cell>
          <cell r="BC592" t="str">
            <v>MB275957A</v>
          </cell>
          <cell r="BD592" t="str">
            <v>L475</v>
          </cell>
          <cell r="BI592">
            <v>888</v>
          </cell>
          <cell r="BJ592">
            <v>458</v>
          </cell>
          <cell r="BK592">
            <v>90</v>
          </cell>
          <cell r="BL592">
            <v>100</v>
          </cell>
          <cell r="BM592"/>
          <cell r="BN592"/>
          <cell r="BO592"/>
          <cell r="BP592"/>
          <cell r="BQ592"/>
          <cell r="BR592"/>
          <cell r="BS592"/>
          <cell r="BT592"/>
          <cell r="BU592"/>
          <cell r="BV592"/>
          <cell r="BW592"/>
          <cell r="BX592"/>
          <cell r="BY592"/>
          <cell r="BZ592"/>
          <cell r="CA592"/>
          <cell r="CB592"/>
          <cell r="CC592"/>
          <cell r="CD592"/>
          <cell r="CE592"/>
          <cell r="CF592"/>
          <cell r="CG592"/>
          <cell r="CH592"/>
          <cell r="CI592"/>
          <cell r="CJ592"/>
          <cell r="CK592"/>
          <cell r="CL592"/>
          <cell r="CM592"/>
          <cell r="CN592"/>
          <cell r="CO592"/>
          <cell r="CP592"/>
          <cell r="CQ592"/>
        </row>
        <row r="593">
          <cell r="C593">
            <v>1030</v>
          </cell>
          <cell r="D593" t="str">
            <v>HQ505311</v>
          </cell>
          <cell r="E593" t="str">
            <v xml:space="preserve"> PNL-DASH</v>
          </cell>
          <cell r="F593" t="str">
            <v>+581A</v>
          </cell>
          <cell r="K593">
            <v>1</v>
          </cell>
          <cell r="M593">
            <v>1</v>
          </cell>
          <cell r="N593">
            <v>1</v>
          </cell>
          <cell r="O593">
            <v>1</v>
          </cell>
          <cell r="P593">
            <v>1</v>
          </cell>
          <cell r="Q593">
            <v>1</v>
          </cell>
          <cell r="AD593">
            <v>1</v>
          </cell>
          <cell r="AZ593" t="str">
            <v>B</v>
          </cell>
          <cell r="BA593" t="str">
            <v>HMC</v>
          </cell>
          <cell r="BB593" t="str">
            <v>H50A13K01-7,18^25</v>
          </cell>
          <cell r="BD593" t="str">
            <v>L475</v>
          </cell>
          <cell r="BI593">
            <v>684</v>
          </cell>
          <cell r="BJ593">
            <v>0</v>
          </cell>
          <cell r="BK593">
            <v>0</v>
          </cell>
          <cell r="BL593">
            <v>0</v>
          </cell>
          <cell r="BM593"/>
          <cell r="BN593"/>
          <cell r="BO593"/>
          <cell r="BP593"/>
          <cell r="BQ593"/>
          <cell r="BR593"/>
          <cell r="BS593"/>
          <cell r="BT593"/>
          <cell r="BU593"/>
          <cell r="BV593"/>
          <cell r="BW593"/>
          <cell r="BX593"/>
          <cell r="BY593"/>
          <cell r="BZ593"/>
          <cell r="CA593"/>
          <cell r="CB593"/>
          <cell r="CC593"/>
          <cell r="CD593"/>
          <cell r="CE593"/>
          <cell r="CF593"/>
          <cell r="CG593"/>
          <cell r="CH593"/>
          <cell r="CI593"/>
          <cell r="CJ593"/>
          <cell r="CK593"/>
          <cell r="CL593"/>
          <cell r="CM593"/>
          <cell r="CN593"/>
          <cell r="CO593"/>
          <cell r="CP593"/>
        </row>
        <row r="594">
          <cell r="C594">
            <v>2453</v>
          </cell>
          <cell r="D594" t="str">
            <v>HQ505312</v>
          </cell>
          <cell r="E594" t="str">
            <v xml:space="preserve"> PNL ASSY DASH</v>
          </cell>
          <cell r="F594" t="str">
            <v>-581A</v>
          </cell>
          <cell r="H594">
            <v>1</v>
          </cell>
          <cell r="I594">
            <v>1</v>
          </cell>
          <cell r="J594">
            <v>1</v>
          </cell>
          <cell r="K594">
            <v>1</v>
          </cell>
          <cell r="L594">
            <v>1</v>
          </cell>
          <cell r="M594">
            <v>1</v>
          </cell>
          <cell r="N594">
            <v>1</v>
          </cell>
          <cell r="O594">
            <v>1</v>
          </cell>
          <cell r="P594">
            <v>1</v>
          </cell>
          <cell r="Q594">
            <v>1</v>
          </cell>
          <cell r="R594">
            <v>1</v>
          </cell>
          <cell r="S594">
            <v>1</v>
          </cell>
          <cell r="T594">
            <v>1</v>
          </cell>
          <cell r="U594">
            <v>1</v>
          </cell>
          <cell r="V594">
            <v>1</v>
          </cell>
          <cell r="Y594">
            <v>1</v>
          </cell>
          <cell r="Z594">
            <v>1</v>
          </cell>
          <cell r="AA594">
            <v>1</v>
          </cell>
          <cell r="AB594">
            <v>1</v>
          </cell>
          <cell r="AC594">
            <v>1</v>
          </cell>
          <cell r="AD594">
            <v>1</v>
          </cell>
          <cell r="AF594">
            <v>1</v>
          </cell>
          <cell r="AG594">
            <v>1</v>
          </cell>
          <cell r="AH594"/>
          <cell r="AI594"/>
          <cell r="AJ594">
            <v>1</v>
          </cell>
          <cell r="AK594"/>
          <cell r="AL594">
            <v>1</v>
          </cell>
          <cell r="AM594">
            <v>1</v>
          </cell>
          <cell r="AN594"/>
          <cell r="AO594">
            <v>1</v>
          </cell>
          <cell r="AP594"/>
          <cell r="AQ594">
            <v>1</v>
          </cell>
          <cell r="AR594"/>
          <cell r="AS594">
            <v>1</v>
          </cell>
          <cell r="AT594"/>
          <cell r="AU594">
            <v>1</v>
          </cell>
          <cell r="AV594">
            <v>1</v>
          </cell>
          <cell r="AW594"/>
          <cell r="AX594"/>
          <cell r="AY594"/>
          <cell r="AZ594" t="str">
            <v>B</v>
          </cell>
          <cell r="BA594" t="str">
            <v>HMC</v>
          </cell>
          <cell r="BB594" t="str">
            <v>H50A13K01-1,4,12^17,27^29</v>
          </cell>
          <cell r="BC594" t="str">
            <v>HC000015</v>
          </cell>
          <cell r="BD594" t="str">
            <v>L475</v>
          </cell>
          <cell r="BE594"/>
          <cell r="BF594"/>
          <cell r="BG594"/>
          <cell r="BH594"/>
          <cell r="BI594">
            <v>937</v>
          </cell>
          <cell r="BJ594">
            <v>995</v>
          </cell>
          <cell r="BK594">
            <v>57</v>
          </cell>
          <cell r="BL594">
            <v>56</v>
          </cell>
          <cell r="BM594"/>
          <cell r="BN594"/>
          <cell r="BO594"/>
          <cell r="BP594"/>
          <cell r="BQ594"/>
          <cell r="BR594"/>
          <cell r="BS594"/>
          <cell r="BT594"/>
          <cell r="BU594"/>
          <cell r="BV594"/>
          <cell r="BW594"/>
          <cell r="BX594"/>
          <cell r="BY594"/>
          <cell r="BZ594"/>
          <cell r="CA594"/>
          <cell r="CB594"/>
          <cell r="CC594"/>
          <cell r="CD594"/>
          <cell r="CE594"/>
          <cell r="CF594"/>
          <cell r="CG594"/>
          <cell r="CH594"/>
          <cell r="CI594"/>
          <cell r="CJ594"/>
          <cell r="CK594"/>
          <cell r="CL594"/>
          <cell r="CM594"/>
          <cell r="CN594"/>
          <cell r="CO594"/>
          <cell r="CP594"/>
        </row>
        <row r="595">
          <cell r="C595">
            <v>130</v>
          </cell>
          <cell r="D595" t="str">
            <v>HQ505313</v>
          </cell>
          <cell r="E595" t="str">
            <v xml:space="preserve"> PNL ASSY DASH</v>
          </cell>
          <cell r="W595">
            <v>1</v>
          </cell>
          <cell r="X595">
            <v>1</v>
          </cell>
          <cell r="AE595">
            <v>1</v>
          </cell>
          <cell r="AH595">
            <v>1</v>
          </cell>
          <cell r="AI595">
            <v>1</v>
          </cell>
          <cell r="AN595">
            <v>1</v>
          </cell>
          <cell r="AP595">
            <v>1</v>
          </cell>
          <cell r="AR595">
            <v>1</v>
          </cell>
          <cell r="AT595">
            <v>1</v>
          </cell>
          <cell r="AW595">
            <v>1</v>
          </cell>
          <cell r="AY595">
            <v>1</v>
          </cell>
          <cell r="AZ595" t="str">
            <v>B</v>
          </cell>
          <cell r="BA595" t="str">
            <v>HMC</v>
          </cell>
          <cell r="BB595" t="str">
            <v>H50A13K01-3,5,6,9^11</v>
          </cell>
          <cell r="BC595" t="str">
            <v>HC000016</v>
          </cell>
          <cell r="BD595" t="str">
            <v>L475</v>
          </cell>
          <cell r="BI595">
            <v>0</v>
          </cell>
          <cell r="BJ595">
            <v>2</v>
          </cell>
          <cell r="BK595">
            <v>60</v>
          </cell>
          <cell r="BL595">
            <v>46</v>
          </cell>
          <cell r="BM595"/>
          <cell r="BN595"/>
          <cell r="BO595"/>
          <cell r="BP595"/>
          <cell r="BQ595"/>
          <cell r="BR595"/>
          <cell r="BS595"/>
          <cell r="BT595"/>
          <cell r="BU595"/>
          <cell r="BV595"/>
          <cell r="BW595"/>
          <cell r="BX595"/>
          <cell r="BY595"/>
          <cell r="BZ595"/>
          <cell r="CA595"/>
          <cell r="CB595"/>
          <cell r="CC595"/>
          <cell r="CD595"/>
          <cell r="CE595"/>
          <cell r="CF595"/>
          <cell r="CG595"/>
          <cell r="CH595"/>
          <cell r="CI595"/>
          <cell r="CJ595"/>
          <cell r="CK595"/>
          <cell r="CL595"/>
          <cell r="CM595"/>
          <cell r="CN595"/>
          <cell r="CO595"/>
          <cell r="CP595"/>
          <cell r="CQ595"/>
        </row>
        <row r="596">
          <cell r="C596">
            <v>1</v>
          </cell>
          <cell r="D596" t="str">
            <v>HQ505314</v>
          </cell>
          <cell r="E596" t="str">
            <v xml:space="preserve"> PNL ASSY DASH</v>
          </cell>
          <cell r="AK596">
            <v>1</v>
          </cell>
          <cell r="AX596">
            <v>1</v>
          </cell>
          <cell r="AZ596" t="str">
            <v>B</v>
          </cell>
          <cell r="BA596" t="str">
            <v>HMC</v>
          </cell>
          <cell r="BB596" t="str">
            <v>H50A13K01-65</v>
          </cell>
          <cell r="BC596" t="str">
            <v>HC000016</v>
          </cell>
          <cell r="BD596" t="str">
            <v>L475</v>
          </cell>
          <cell r="BI596">
            <v>0</v>
          </cell>
          <cell r="BJ596">
            <v>0</v>
          </cell>
          <cell r="BK596">
            <v>1</v>
          </cell>
          <cell r="BL596">
            <v>0</v>
          </cell>
          <cell r="BM596"/>
          <cell r="BN596"/>
          <cell r="BO596"/>
          <cell r="BP596"/>
          <cell r="BQ596"/>
          <cell r="BR596"/>
          <cell r="BS596"/>
          <cell r="BT596"/>
          <cell r="BU596"/>
          <cell r="BV596"/>
          <cell r="BW596"/>
          <cell r="BX596"/>
          <cell r="BY596"/>
          <cell r="BZ596"/>
          <cell r="CA596"/>
          <cell r="CB596"/>
          <cell r="CC596"/>
          <cell r="CD596"/>
          <cell r="CE596"/>
          <cell r="CF596"/>
          <cell r="CG596"/>
          <cell r="CH596"/>
          <cell r="CI596"/>
          <cell r="CJ596"/>
        </row>
        <row r="597">
          <cell r="C597">
            <v>1052</v>
          </cell>
          <cell r="D597" t="str">
            <v>HQ505725</v>
          </cell>
          <cell r="E597" t="str">
            <v xml:space="preserve"> PANEL,QTR,OTR LH</v>
          </cell>
          <cell r="F597" t="str">
            <v>+661B</v>
          </cell>
          <cell r="K597">
            <v>1</v>
          </cell>
          <cell r="O597">
            <v>1</v>
          </cell>
          <cell r="Q597">
            <v>1</v>
          </cell>
          <cell r="X597">
            <v>1</v>
          </cell>
          <cell r="AE597">
            <v>1</v>
          </cell>
          <cell r="AI597">
            <v>1</v>
          </cell>
          <cell r="AS597">
            <v>1</v>
          </cell>
          <cell r="AT597">
            <v>1</v>
          </cell>
          <cell r="AZ597" t="str">
            <v>B</v>
          </cell>
          <cell r="BA597" t="str">
            <v>HMC</v>
          </cell>
          <cell r="BB597" t="str">
            <v>H50A17K</v>
          </cell>
          <cell r="BC597" t="str">
            <v>MB275265A</v>
          </cell>
          <cell r="BD597" t="str">
            <v>L475</v>
          </cell>
          <cell r="BI597">
            <v>635</v>
          </cell>
          <cell r="BJ597">
            <v>2</v>
          </cell>
          <cell r="BK597">
            <v>53</v>
          </cell>
          <cell r="BL597">
            <v>29</v>
          </cell>
          <cell r="BM597"/>
          <cell r="BN597"/>
          <cell r="BO597"/>
          <cell r="BP597"/>
          <cell r="BQ597"/>
          <cell r="BR597"/>
          <cell r="BS597"/>
          <cell r="BT597"/>
          <cell r="BU597"/>
          <cell r="BV597"/>
          <cell r="BW597"/>
          <cell r="BX597"/>
          <cell r="BY597"/>
          <cell r="BZ597"/>
          <cell r="CA597"/>
          <cell r="CB597"/>
          <cell r="CC597"/>
          <cell r="CD597"/>
          <cell r="CE597"/>
          <cell r="CF597"/>
          <cell r="CG597"/>
          <cell r="CH597"/>
          <cell r="CI597"/>
          <cell r="CJ597"/>
          <cell r="CK597"/>
          <cell r="CL597"/>
          <cell r="CM597"/>
          <cell r="CN597"/>
          <cell r="CO597"/>
          <cell r="CP597"/>
          <cell r="CQ597"/>
        </row>
        <row r="598">
          <cell r="C598">
            <v>1052</v>
          </cell>
          <cell r="D598" t="str">
            <v>HQ505726</v>
          </cell>
          <cell r="E598" t="str">
            <v xml:space="preserve"> PANEL,QTR,OTR RH</v>
          </cell>
          <cell r="F598" t="str">
            <v>+661B</v>
          </cell>
          <cell r="K598">
            <v>1</v>
          </cell>
          <cell r="O598">
            <v>1</v>
          </cell>
          <cell r="Q598">
            <v>1</v>
          </cell>
          <cell r="X598">
            <v>1</v>
          </cell>
          <cell r="AE598">
            <v>1</v>
          </cell>
          <cell r="AI598">
            <v>1</v>
          </cell>
          <cell r="AS598">
            <v>1</v>
          </cell>
          <cell r="AT598">
            <v>1</v>
          </cell>
          <cell r="AZ598" t="str">
            <v>B</v>
          </cell>
          <cell r="BA598" t="str">
            <v>HMC</v>
          </cell>
          <cell r="BB598" t="str">
            <v>H50A17K</v>
          </cell>
          <cell r="BC598" t="str">
            <v>MB275266A</v>
          </cell>
          <cell r="BD598" t="str">
            <v>L475</v>
          </cell>
          <cell r="BI598">
            <v>635</v>
          </cell>
          <cell r="BJ598">
            <v>2</v>
          </cell>
          <cell r="BK598">
            <v>53</v>
          </cell>
          <cell r="BL598">
            <v>29</v>
          </cell>
          <cell r="BM598"/>
          <cell r="BN598"/>
          <cell r="BO598"/>
          <cell r="BP598"/>
          <cell r="BQ598"/>
          <cell r="BR598"/>
          <cell r="BS598"/>
          <cell r="BT598"/>
          <cell r="BU598"/>
          <cell r="BV598"/>
          <cell r="BW598"/>
          <cell r="BX598"/>
          <cell r="BY598"/>
          <cell r="BZ598"/>
          <cell r="CA598"/>
          <cell r="CB598"/>
          <cell r="CC598"/>
          <cell r="CD598"/>
          <cell r="CE598"/>
          <cell r="CF598"/>
          <cell r="CG598"/>
          <cell r="CH598"/>
          <cell r="CI598"/>
          <cell r="CJ598"/>
          <cell r="CK598"/>
          <cell r="CL598"/>
          <cell r="CM598"/>
          <cell r="CN598"/>
          <cell r="CO598"/>
          <cell r="CP598"/>
          <cell r="CQ598"/>
        </row>
        <row r="599">
          <cell r="C599">
            <v>103</v>
          </cell>
          <cell r="D599" t="str">
            <v>HQ505741</v>
          </cell>
          <cell r="E599" t="str">
            <v xml:space="preserve"> PNL,SIDE,OTR LH</v>
          </cell>
          <cell r="F599" t="str">
            <v>+661B</v>
          </cell>
          <cell r="M599">
            <v>1</v>
          </cell>
          <cell r="N599">
            <v>1</v>
          </cell>
          <cell r="P599">
            <v>1</v>
          </cell>
          <cell r="W599">
            <v>1</v>
          </cell>
          <cell r="AD599">
            <v>1</v>
          </cell>
          <cell r="AH599">
            <v>1</v>
          </cell>
          <cell r="AO599">
            <v>1</v>
          </cell>
          <cell r="AP599">
            <v>1</v>
          </cell>
          <cell r="AW599">
            <v>1</v>
          </cell>
          <cell r="AZ599" t="str">
            <v>B</v>
          </cell>
          <cell r="BA599" t="str">
            <v>HMC</v>
          </cell>
          <cell r="BB599" t="str">
            <v>_x0000__x0000__x0000__x0000__x0000__x0000_</v>
          </cell>
          <cell r="BC599" t="str">
            <v>MB275261A</v>
          </cell>
          <cell r="BD599" t="str">
            <v>L475</v>
          </cell>
          <cell r="BI599">
            <v>49</v>
          </cell>
          <cell r="BJ599">
            <v>0</v>
          </cell>
          <cell r="BK599">
            <v>8</v>
          </cell>
          <cell r="BL599">
            <v>2</v>
          </cell>
          <cell r="BM599"/>
          <cell r="BN599"/>
          <cell r="BO599"/>
          <cell r="BP599"/>
          <cell r="BQ599"/>
          <cell r="BR599"/>
          <cell r="BS599"/>
          <cell r="BT599"/>
          <cell r="BU599"/>
          <cell r="BV599"/>
          <cell r="BW599"/>
          <cell r="BX599"/>
          <cell r="BY599"/>
          <cell r="BZ599"/>
          <cell r="CA599"/>
          <cell r="CB599"/>
          <cell r="CC599"/>
          <cell r="CD599"/>
          <cell r="CE599"/>
          <cell r="CF599"/>
          <cell r="CG599"/>
          <cell r="CH599"/>
          <cell r="CI599"/>
          <cell r="CJ599"/>
          <cell r="CK599"/>
          <cell r="CL599"/>
          <cell r="CM599"/>
          <cell r="CN599"/>
          <cell r="CO599"/>
          <cell r="CP599"/>
        </row>
        <row r="600">
          <cell r="C600">
            <v>91</v>
          </cell>
          <cell r="D600" t="str">
            <v>HQ505742</v>
          </cell>
          <cell r="E600" t="str">
            <v xml:space="preserve"> PANEL,SIDE,OTR RH</v>
          </cell>
          <cell r="F600" t="str">
            <v>+661B</v>
          </cell>
          <cell r="M600">
            <v>1</v>
          </cell>
          <cell r="N600">
            <v>1</v>
          </cell>
          <cell r="P600">
            <v>1</v>
          </cell>
          <cell r="W600">
            <v>1</v>
          </cell>
          <cell r="AD600">
            <v>1</v>
          </cell>
          <cell r="AP600">
            <v>1</v>
          </cell>
          <cell r="AW600">
            <v>1</v>
          </cell>
          <cell r="AZ600" t="str">
            <v>B</v>
          </cell>
          <cell r="BA600" t="str">
            <v>HMC</v>
          </cell>
          <cell r="BB600" t="str">
            <v>H50A17K</v>
          </cell>
          <cell r="BC600" t="str">
            <v>MB275262A</v>
          </cell>
          <cell r="BD600" t="str">
            <v>L475</v>
          </cell>
          <cell r="BI600">
            <v>49</v>
          </cell>
          <cell r="BJ600">
            <v>0</v>
          </cell>
          <cell r="BK600">
            <v>0</v>
          </cell>
          <cell r="BL600">
            <v>2</v>
          </cell>
          <cell r="BM600"/>
          <cell r="BN600"/>
          <cell r="BO600"/>
          <cell r="BP600"/>
          <cell r="BQ600"/>
          <cell r="BR600"/>
          <cell r="BS600"/>
          <cell r="BT600"/>
          <cell r="BU600"/>
          <cell r="BV600"/>
          <cell r="BW600"/>
          <cell r="BX600"/>
          <cell r="BY600"/>
          <cell r="BZ600"/>
          <cell r="CA600"/>
          <cell r="CB600"/>
          <cell r="CC600"/>
          <cell r="CD600"/>
          <cell r="CE600"/>
          <cell r="CF600"/>
          <cell r="CG600"/>
          <cell r="CH600"/>
          <cell r="CI600"/>
          <cell r="CJ600"/>
          <cell r="CK600"/>
          <cell r="CL600"/>
          <cell r="CM600"/>
          <cell r="CN600"/>
          <cell r="CO600"/>
          <cell r="CP600"/>
        </row>
        <row r="601">
          <cell r="C601">
            <v>1872</v>
          </cell>
          <cell r="D601" t="str">
            <v>HQ505771</v>
          </cell>
          <cell r="E601" t="str">
            <v xml:space="preserve"> PANEL,QTR INR LH</v>
          </cell>
          <cell r="J601">
            <v>1</v>
          </cell>
          <cell r="K601">
            <v>1</v>
          </cell>
          <cell r="O601">
            <v>1</v>
          </cell>
          <cell r="Q601">
            <v>1</v>
          </cell>
          <cell r="S601">
            <v>1</v>
          </cell>
          <cell r="T601">
            <v>1</v>
          </cell>
          <cell r="V601">
            <v>1</v>
          </cell>
          <cell r="X601">
            <v>1</v>
          </cell>
          <cell r="Y601">
            <v>1</v>
          </cell>
          <cell r="Z601">
            <v>1</v>
          </cell>
          <cell r="AA601">
            <v>1</v>
          </cell>
          <cell r="AE601">
            <v>1</v>
          </cell>
          <cell r="AI601">
            <v>1</v>
          </cell>
          <cell r="AJ601">
            <v>1</v>
          </cell>
          <cell r="AK601">
            <v>1</v>
          </cell>
          <cell r="AQ601">
            <v>1</v>
          </cell>
          <cell r="AR601">
            <v>1</v>
          </cell>
          <cell r="AS601">
            <v>1</v>
          </cell>
          <cell r="AT601">
            <v>1</v>
          </cell>
          <cell r="AU601">
            <v>1</v>
          </cell>
          <cell r="AV601">
            <v>1</v>
          </cell>
          <cell r="AX601">
            <v>1</v>
          </cell>
          <cell r="AY601">
            <v>1</v>
          </cell>
          <cell r="AZ601" t="str">
            <v>B</v>
          </cell>
          <cell r="BA601" t="str">
            <v>HMC</v>
          </cell>
          <cell r="BB601" t="str">
            <v>H50A17K</v>
          </cell>
          <cell r="BC601" t="str">
            <v>HC000011</v>
          </cell>
          <cell r="BD601" t="str">
            <v>L475</v>
          </cell>
          <cell r="BI601">
            <v>868</v>
          </cell>
          <cell r="BJ601">
            <v>458</v>
          </cell>
          <cell r="BK601">
            <v>90</v>
          </cell>
          <cell r="BL601">
            <v>100</v>
          </cell>
          <cell r="BM601"/>
          <cell r="BN601"/>
          <cell r="BO601"/>
          <cell r="BP601"/>
          <cell r="BQ601"/>
          <cell r="BR601"/>
          <cell r="BS601"/>
          <cell r="BT601"/>
          <cell r="BU601"/>
          <cell r="BV601"/>
          <cell r="BW601"/>
          <cell r="BX601"/>
          <cell r="BY601"/>
          <cell r="BZ601"/>
          <cell r="CA601"/>
          <cell r="CB601"/>
          <cell r="CC601"/>
          <cell r="CD601"/>
          <cell r="CE601"/>
          <cell r="CF601"/>
          <cell r="CG601"/>
          <cell r="CH601"/>
          <cell r="CI601"/>
          <cell r="CJ601"/>
          <cell r="CK601"/>
          <cell r="CL601"/>
          <cell r="CM601"/>
          <cell r="CN601"/>
          <cell r="CO601"/>
          <cell r="CP601"/>
          <cell r="CQ601"/>
        </row>
        <row r="602">
          <cell r="C602">
            <v>1963</v>
          </cell>
          <cell r="D602" t="str">
            <v>HQ505772</v>
          </cell>
          <cell r="E602" t="str">
            <v xml:space="preserve"> PANEL,QTR INR RH  </v>
          </cell>
          <cell r="F602" t="str">
            <v>+661B</v>
          </cell>
          <cell r="J602">
            <v>1</v>
          </cell>
          <cell r="K602">
            <v>1</v>
          </cell>
          <cell r="M602">
            <v>1</v>
          </cell>
          <cell r="N602">
            <v>1</v>
          </cell>
          <cell r="O602">
            <v>1</v>
          </cell>
          <cell r="P602">
            <v>1</v>
          </cell>
          <cell r="Q602">
            <v>1</v>
          </cell>
          <cell r="S602">
            <v>1</v>
          </cell>
          <cell r="T602">
            <v>1</v>
          </cell>
          <cell r="V602">
            <v>1</v>
          </cell>
          <cell r="W602">
            <v>1</v>
          </cell>
          <cell r="X602">
            <v>1</v>
          </cell>
          <cell r="Y602">
            <v>1</v>
          </cell>
          <cell r="Z602">
            <v>1</v>
          </cell>
          <cell r="AA602">
            <v>1</v>
          </cell>
          <cell r="AD602">
            <v>1</v>
          </cell>
          <cell r="AE602">
            <v>1</v>
          </cell>
          <cell r="AI602">
            <v>1</v>
          </cell>
          <cell r="AJ602">
            <v>1</v>
          </cell>
          <cell r="AK602">
            <v>1</v>
          </cell>
          <cell r="AP602">
            <v>1</v>
          </cell>
          <cell r="AQ602">
            <v>1</v>
          </cell>
          <cell r="AR602">
            <v>1</v>
          </cell>
          <cell r="AS602">
            <v>1</v>
          </cell>
          <cell r="AT602">
            <v>1</v>
          </cell>
          <cell r="AU602">
            <v>1</v>
          </cell>
          <cell r="AV602">
            <v>1</v>
          </cell>
          <cell r="AW602">
            <v>1</v>
          </cell>
          <cell r="AX602">
            <v>1</v>
          </cell>
          <cell r="AY602">
            <v>1</v>
          </cell>
          <cell r="AZ602" t="str">
            <v>B</v>
          </cell>
          <cell r="BA602" t="str">
            <v>HMC</v>
          </cell>
          <cell r="BB602" t="str">
            <v>H50A17K</v>
          </cell>
          <cell r="BC602" t="str">
            <v>HC000012</v>
          </cell>
          <cell r="BD602" t="str">
            <v>L475</v>
          </cell>
          <cell r="BI602">
            <v>917</v>
          </cell>
          <cell r="BJ602">
            <v>458</v>
          </cell>
          <cell r="BK602">
            <v>90</v>
          </cell>
          <cell r="BL602">
            <v>102</v>
          </cell>
          <cell r="BM602"/>
          <cell r="BN602"/>
          <cell r="BO602"/>
          <cell r="BP602"/>
          <cell r="BQ602"/>
          <cell r="BR602"/>
          <cell r="BS602"/>
          <cell r="BT602"/>
          <cell r="BU602"/>
          <cell r="BV602"/>
          <cell r="BW602"/>
          <cell r="BX602"/>
          <cell r="BY602"/>
          <cell r="BZ602"/>
          <cell r="CA602"/>
          <cell r="CB602"/>
          <cell r="CC602"/>
          <cell r="CD602"/>
          <cell r="CE602"/>
          <cell r="CF602"/>
          <cell r="CG602"/>
          <cell r="CH602"/>
          <cell r="CI602"/>
          <cell r="CJ602"/>
          <cell r="CK602"/>
          <cell r="CL602"/>
          <cell r="CM602"/>
          <cell r="CN602"/>
          <cell r="CO602"/>
          <cell r="CP602"/>
          <cell r="CQ602"/>
        </row>
        <row r="603">
          <cell r="C603">
            <v>20</v>
          </cell>
          <cell r="D603" t="str">
            <v>HQ505773</v>
          </cell>
          <cell r="E603" t="str">
            <v xml:space="preserve"> PANEL,QTR INR LH</v>
          </cell>
          <cell r="I603">
            <v>1</v>
          </cell>
          <cell r="AG603">
            <v>1</v>
          </cell>
          <cell r="AZ603" t="str">
            <v>B</v>
          </cell>
          <cell r="BA603" t="str">
            <v>HMC</v>
          </cell>
          <cell r="BB603" t="str">
            <v>H50A17K</v>
          </cell>
          <cell r="BC603" t="str">
            <v>HC000009</v>
          </cell>
          <cell r="BD603" t="str">
            <v>L475</v>
          </cell>
          <cell r="BE603" t="str">
            <v>2</v>
          </cell>
          <cell r="BI603">
            <v>20</v>
          </cell>
          <cell r="BJ603">
            <v>0</v>
          </cell>
          <cell r="BK603">
            <v>0</v>
          </cell>
          <cell r="BL603">
            <v>0</v>
          </cell>
          <cell r="BM603"/>
          <cell r="BN603"/>
          <cell r="BO603"/>
          <cell r="BP603"/>
          <cell r="BQ603"/>
          <cell r="BR603"/>
          <cell r="BS603"/>
          <cell r="BT603"/>
          <cell r="BU603"/>
          <cell r="BV603"/>
          <cell r="BW603"/>
          <cell r="BX603"/>
          <cell r="BY603"/>
          <cell r="BZ603"/>
          <cell r="CA603"/>
          <cell r="CB603"/>
          <cell r="CC603"/>
          <cell r="CD603"/>
          <cell r="CE603"/>
          <cell r="CF603"/>
          <cell r="CG603"/>
          <cell r="CH603"/>
          <cell r="CI603"/>
          <cell r="CJ603"/>
          <cell r="CK603"/>
        </row>
        <row r="604">
          <cell r="C604">
            <v>20</v>
          </cell>
          <cell r="D604" t="str">
            <v>HQ505774</v>
          </cell>
          <cell r="E604" t="str">
            <v xml:space="preserve"> PANEL,QTR,INR RH  </v>
          </cell>
          <cell r="I604">
            <v>1</v>
          </cell>
          <cell r="AG604">
            <v>1</v>
          </cell>
          <cell r="AZ604" t="str">
            <v>B</v>
          </cell>
          <cell r="BA604" t="str">
            <v>HMC</v>
          </cell>
          <cell r="BB604" t="str">
            <v>H50A17K</v>
          </cell>
          <cell r="BC604" t="str">
            <v>HC000010</v>
          </cell>
          <cell r="BD604" t="str">
            <v>L475</v>
          </cell>
          <cell r="BE604" t="str">
            <v>2</v>
          </cell>
          <cell r="BI604">
            <v>20</v>
          </cell>
          <cell r="BJ604">
            <v>0</v>
          </cell>
          <cell r="BK604">
            <v>0</v>
          </cell>
          <cell r="BL604">
            <v>0</v>
          </cell>
          <cell r="BM604"/>
          <cell r="BN604"/>
          <cell r="BO604"/>
          <cell r="BP604"/>
          <cell r="BQ604"/>
          <cell r="BR604"/>
          <cell r="BS604"/>
          <cell r="BT604"/>
          <cell r="BU604"/>
          <cell r="BV604"/>
          <cell r="BW604"/>
          <cell r="BX604"/>
          <cell r="BY604"/>
          <cell r="BZ604"/>
          <cell r="CA604"/>
          <cell r="CB604"/>
          <cell r="CC604"/>
          <cell r="CD604"/>
          <cell r="CE604"/>
          <cell r="CF604"/>
          <cell r="CG604"/>
          <cell r="CH604"/>
          <cell r="CI604"/>
          <cell r="CJ604"/>
          <cell r="CK604"/>
        </row>
        <row r="605">
          <cell r="C605">
            <v>1817</v>
          </cell>
          <cell r="D605" t="str">
            <v>MB021356A</v>
          </cell>
          <cell r="E605" t="str">
            <v xml:space="preserve"> PANEL,HOOD INNER</v>
          </cell>
          <cell r="H605">
            <v>1</v>
          </cell>
          <cell r="I605">
            <v>1</v>
          </cell>
          <cell r="J605">
            <v>1</v>
          </cell>
          <cell r="K605">
            <v>1</v>
          </cell>
          <cell r="L605">
            <v>1</v>
          </cell>
          <cell r="M605">
            <v>1</v>
          </cell>
          <cell r="R605">
            <v>1</v>
          </cell>
          <cell r="S605">
            <v>1</v>
          </cell>
          <cell r="T605">
            <v>1</v>
          </cell>
          <cell r="U605">
            <v>1</v>
          </cell>
          <cell r="V605">
            <v>1</v>
          </cell>
          <cell r="W605">
            <v>1</v>
          </cell>
          <cell r="X605">
            <v>1</v>
          </cell>
          <cell r="Y605">
            <v>1</v>
          </cell>
          <cell r="AA605">
            <v>1</v>
          </cell>
          <cell r="AB605">
            <v>1</v>
          </cell>
          <cell r="AC605">
            <v>1</v>
          </cell>
          <cell r="AD605">
            <v>1</v>
          </cell>
          <cell r="AE605">
            <v>1</v>
          </cell>
          <cell r="AF605">
            <v>1</v>
          </cell>
          <cell r="AG605">
            <v>1</v>
          </cell>
          <cell r="AH605">
            <v>1</v>
          </cell>
          <cell r="AI605">
            <v>1</v>
          </cell>
          <cell r="AJ605">
            <v>1</v>
          </cell>
          <cell r="AK605">
            <v>1</v>
          </cell>
          <cell r="AL605">
            <v>1</v>
          </cell>
          <cell r="AM605">
            <v>1</v>
          </cell>
          <cell r="AN605">
            <v>1</v>
          </cell>
          <cell r="AO605"/>
          <cell r="AP605">
            <v>1</v>
          </cell>
          <cell r="AQ605">
            <v>1</v>
          </cell>
          <cell r="AR605">
            <v>1</v>
          </cell>
          <cell r="AS605"/>
          <cell r="AT605"/>
          <cell r="AU605">
            <v>1</v>
          </cell>
          <cell r="AV605">
            <v>1</v>
          </cell>
          <cell r="AW605">
            <v>1</v>
          </cell>
          <cell r="AX605">
            <v>1</v>
          </cell>
          <cell r="AY605">
            <v>1</v>
          </cell>
          <cell r="AZ605" t="str">
            <v>B(M)</v>
          </cell>
          <cell r="BA605" t="str">
            <v>HMC</v>
          </cell>
          <cell r="BB605" t="str">
            <v>H50B35K</v>
          </cell>
          <cell r="BC605"/>
          <cell r="BD605" t="str">
            <v>L475</v>
          </cell>
          <cell r="BE605"/>
          <cell r="BI605">
            <v>515</v>
          </cell>
          <cell r="BJ605">
            <v>997</v>
          </cell>
          <cell r="BK605">
            <v>110</v>
          </cell>
          <cell r="BL605">
            <v>73</v>
          </cell>
          <cell r="BM605"/>
          <cell r="BN605"/>
          <cell r="BO605"/>
          <cell r="BP605"/>
          <cell r="BQ605"/>
          <cell r="BR605"/>
          <cell r="BS605"/>
          <cell r="BT605"/>
          <cell r="BU605"/>
          <cell r="BV605"/>
          <cell r="BW605"/>
          <cell r="BX605"/>
          <cell r="BY605"/>
          <cell r="BZ605"/>
          <cell r="CA605"/>
          <cell r="CB605"/>
          <cell r="CC605"/>
          <cell r="CD605"/>
          <cell r="CE605"/>
          <cell r="CF605"/>
          <cell r="CG605"/>
          <cell r="CH605"/>
          <cell r="CI605"/>
          <cell r="CJ605"/>
          <cell r="CK605"/>
        </row>
        <row r="606">
          <cell r="C606">
            <v>185</v>
          </cell>
          <cell r="D606" t="str">
            <v>MB112539A</v>
          </cell>
          <cell r="E606" t="str">
            <v xml:space="preserve"> PANEL,B/DR,OTR</v>
          </cell>
          <cell r="F606" t="str">
            <v>-824A</v>
          </cell>
          <cell r="H606">
            <v>1</v>
          </cell>
          <cell r="I606">
            <v>1</v>
          </cell>
          <cell r="U606">
            <v>1</v>
          </cell>
          <cell r="V606">
            <v>1</v>
          </cell>
          <cell r="Y606">
            <v>1</v>
          </cell>
          <cell r="AA606">
            <v>1</v>
          </cell>
          <cell r="AC606">
            <v>1</v>
          </cell>
          <cell r="AF606">
            <v>1</v>
          </cell>
          <cell r="AG606">
            <v>1</v>
          </cell>
          <cell r="AH606"/>
          <cell r="AI606"/>
          <cell r="AJ606">
            <v>1</v>
          </cell>
          <cell r="AK606">
            <v>1</v>
          </cell>
          <cell r="AL606">
            <v>1</v>
          </cell>
          <cell r="AM606">
            <v>1</v>
          </cell>
          <cell r="AN606">
            <v>1</v>
          </cell>
          <cell r="AO606"/>
          <cell r="AP606"/>
          <cell r="AQ606">
            <v>1</v>
          </cell>
          <cell r="AR606">
            <v>1</v>
          </cell>
          <cell r="AS606"/>
          <cell r="AT606"/>
          <cell r="AU606">
            <v>1</v>
          </cell>
          <cell r="AV606">
            <v>1</v>
          </cell>
          <cell r="AW606">
            <v>1</v>
          </cell>
          <cell r="AX606">
            <v>1</v>
          </cell>
          <cell r="AY606">
            <v>1</v>
          </cell>
          <cell r="AZ606" t="str">
            <v>B</v>
          </cell>
          <cell r="BA606" t="str">
            <v>HMC</v>
          </cell>
          <cell r="BB606" t="str">
            <v>H50B33K</v>
          </cell>
          <cell r="BC606"/>
          <cell r="BD606" t="str">
            <v>L475</v>
          </cell>
          <cell r="BE606" t="str">
            <v>STD</v>
          </cell>
          <cell r="BF606"/>
          <cell r="BG606"/>
          <cell r="BH606"/>
          <cell r="BI606">
            <v>20</v>
          </cell>
          <cell r="BJ606">
            <v>0</v>
          </cell>
          <cell r="BK606">
            <v>57</v>
          </cell>
          <cell r="BL606">
            <v>73</v>
          </cell>
          <cell r="BM606"/>
          <cell r="BN606"/>
          <cell r="BO606"/>
          <cell r="BP606"/>
          <cell r="BQ606"/>
          <cell r="BR606"/>
          <cell r="BS606"/>
          <cell r="BT606"/>
          <cell r="BU606"/>
          <cell r="BV606"/>
          <cell r="BW606"/>
          <cell r="BX606"/>
          <cell r="BY606"/>
          <cell r="BZ606"/>
          <cell r="CA606"/>
          <cell r="CB606"/>
          <cell r="CC606"/>
          <cell r="CD606"/>
          <cell r="CE606"/>
          <cell r="CF606"/>
          <cell r="CG606"/>
          <cell r="CH606"/>
          <cell r="CI606"/>
          <cell r="CJ606"/>
          <cell r="CK606"/>
          <cell r="CL606"/>
          <cell r="CM606"/>
          <cell r="CN606"/>
          <cell r="CO606"/>
        </row>
        <row r="607">
          <cell r="C607">
            <v>2584</v>
          </cell>
          <cell r="D607" t="str">
            <v>MB250950A</v>
          </cell>
          <cell r="E607" t="str">
            <v xml:space="preserve"> PANEL,RR END,OTR RH</v>
          </cell>
          <cell r="G607">
            <v>1</v>
          </cell>
          <cell r="AZ607" t="str">
            <v>B</v>
          </cell>
          <cell r="BA607" t="str">
            <v>HMC</v>
          </cell>
          <cell r="BB607" t="str">
            <v>H50A17K</v>
          </cell>
          <cell r="BD607" t="str">
            <v>L475</v>
          </cell>
          <cell r="BE607" t="str">
            <v>ALL</v>
          </cell>
          <cell r="BI607">
            <v>0</v>
          </cell>
          <cell r="BJ607">
            <v>0</v>
          </cell>
          <cell r="BK607">
            <v>0</v>
          </cell>
          <cell r="BL607">
            <v>0</v>
          </cell>
          <cell r="BM607"/>
          <cell r="BN607"/>
          <cell r="BO607"/>
          <cell r="BP607"/>
          <cell r="BQ607"/>
          <cell r="BR607"/>
          <cell r="BS607"/>
          <cell r="BT607"/>
          <cell r="BU607"/>
          <cell r="BV607"/>
          <cell r="BW607"/>
          <cell r="BX607"/>
          <cell r="BY607"/>
          <cell r="BZ607"/>
          <cell r="CA607"/>
          <cell r="CB607"/>
          <cell r="CC607"/>
          <cell r="CD607"/>
          <cell r="CE607"/>
          <cell r="CF607"/>
          <cell r="CG607"/>
          <cell r="CH607"/>
          <cell r="CI607"/>
          <cell r="CJ607"/>
          <cell r="CK607"/>
        </row>
        <row r="608">
          <cell r="C608">
            <v>2584</v>
          </cell>
          <cell r="D608" t="str">
            <v>MB250951A</v>
          </cell>
          <cell r="E608" t="str">
            <v xml:space="preserve"> PANEL,RR END,OTR LH</v>
          </cell>
          <cell r="G608">
            <v>1</v>
          </cell>
          <cell r="AZ608" t="str">
            <v>B</v>
          </cell>
          <cell r="BA608" t="str">
            <v>HMC</v>
          </cell>
          <cell r="BB608" t="str">
            <v>H50A17K</v>
          </cell>
          <cell r="BD608" t="str">
            <v>L475</v>
          </cell>
          <cell r="BE608" t="str">
            <v>ALL</v>
          </cell>
          <cell r="BI608">
            <v>0</v>
          </cell>
          <cell r="BJ608">
            <v>0</v>
          </cell>
          <cell r="BK608">
            <v>0</v>
          </cell>
          <cell r="BL608">
            <v>0</v>
          </cell>
          <cell r="BM608"/>
          <cell r="BN608"/>
          <cell r="BO608"/>
          <cell r="BP608"/>
          <cell r="BQ608"/>
          <cell r="BR608"/>
          <cell r="BS608"/>
          <cell r="BT608"/>
          <cell r="BU608"/>
          <cell r="BV608"/>
          <cell r="BW608"/>
          <cell r="BX608"/>
          <cell r="BY608"/>
          <cell r="BZ608"/>
          <cell r="CA608"/>
          <cell r="CB608"/>
          <cell r="CC608"/>
          <cell r="CD608"/>
          <cell r="CE608"/>
          <cell r="CF608"/>
          <cell r="CG608"/>
          <cell r="CH608"/>
          <cell r="CI608"/>
          <cell r="CJ608"/>
          <cell r="CK608"/>
        </row>
        <row r="609">
          <cell r="C609">
            <v>2584</v>
          </cell>
          <cell r="D609" t="str">
            <v>MB274606A</v>
          </cell>
          <cell r="E609" t="str">
            <v xml:space="preserve"> PILLAR FR OTR RH</v>
          </cell>
          <cell r="F609" t="str">
            <v>MB274608A</v>
          </cell>
          <cell r="G609">
            <v>1</v>
          </cell>
          <cell r="AZ609" t="str">
            <v>B</v>
          </cell>
          <cell r="BA609" t="str">
            <v>HMC</v>
          </cell>
          <cell r="BB609" t="str">
            <v>H50A16K</v>
          </cell>
          <cell r="BD609" t="str">
            <v>L475</v>
          </cell>
          <cell r="BE609" t="str">
            <v>ALL</v>
          </cell>
          <cell r="BI609">
            <v>0</v>
          </cell>
          <cell r="BJ609">
            <v>0</v>
          </cell>
          <cell r="BK609">
            <v>0</v>
          </cell>
          <cell r="BL609">
            <v>0</v>
          </cell>
          <cell r="BM609"/>
          <cell r="BN609"/>
          <cell r="BO609"/>
          <cell r="BP609"/>
          <cell r="BQ609"/>
          <cell r="BR609"/>
          <cell r="BS609"/>
          <cell r="BT609"/>
          <cell r="BU609"/>
          <cell r="BV609"/>
          <cell r="BW609"/>
          <cell r="BX609"/>
          <cell r="BY609"/>
          <cell r="BZ609"/>
          <cell r="CA609"/>
          <cell r="CB609"/>
          <cell r="CC609"/>
          <cell r="CD609"/>
          <cell r="CE609"/>
          <cell r="CF609"/>
          <cell r="CG609"/>
          <cell r="CH609"/>
          <cell r="CI609"/>
          <cell r="CJ609"/>
          <cell r="CK609"/>
        </row>
        <row r="610">
          <cell r="C610">
            <v>1817</v>
          </cell>
          <cell r="D610" t="str">
            <v>MB274797A</v>
          </cell>
          <cell r="E610" t="str">
            <v xml:space="preserve"> PANEL,HOOD OUTER</v>
          </cell>
          <cell r="H610">
            <v>1</v>
          </cell>
          <cell r="I610">
            <v>1</v>
          </cell>
          <cell r="J610">
            <v>1</v>
          </cell>
          <cell r="K610">
            <v>1</v>
          </cell>
          <cell r="L610">
            <v>1</v>
          </cell>
          <cell r="M610">
            <v>1</v>
          </cell>
          <cell r="R610">
            <v>1</v>
          </cell>
          <cell r="S610">
            <v>1</v>
          </cell>
          <cell r="T610">
            <v>1</v>
          </cell>
          <cell r="U610">
            <v>1</v>
          </cell>
          <cell r="V610">
            <v>1</v>
          </cell>
          <cell r="W610">
            <v>1</v>
          </cell>
          <cell r="X610">
            <v>1</v>
          </cell>
          <cell r="Y610">
            <v>1</v>
          </cell>
          <cell r="AA610">
            <v>1</v>
          </cell>
          <cell r="AB610">
            <v>1</v>
          </cell>
          <cell r="AC610">
            <v>1</v>
          </cell>
          <cell r="AD610">
            <v>1</v>
          </cell>
          <cell r="AE610">
            <v>1</v>
          </cell>
          <cell r="AF610">
            <v>1</v>
          </cell>
          <cell r="AG610">
            <v>1</v>
          </cell>
          <cell r="AH610">
            <v>1</v>
          </cell>
          <cell r="AI610">
            <v>1</v>
          </cell>
          <cell r="AJ610">
            <v>1</v>
          </cell>
          <cell r="AK610">
            <v>1</v>
          </cell>
          <cell r="AL610">
            <v>1</v>
          </cell>
          <cell r="AM610">
            <v>1</v>
          </cell>
          <cell r="AN610">
            <v>1</v>
          </cell>
          <cell r="AO610"/>
          <cell r="AP610">
            <v>1</v>
          </cell>
          <cell r="AQ610">
            <v>1</v>
          </cell>
          <cell r="AR610">
            <v>1</v>
          </cell>
          <cell r="AS610"/>
          <cell r="AT610"/>
          <cell r="AU610">
            <v>1</v>
          </cell>
          <cell r="AV610">
            <v>1</v>
          </cell>
          <cell r="AW610">
            <v>1</v>
          </cell>
          <cell r="AX610">
            <v>1</v>
          </cell>
          <cell r="AY610">
            <v>1</v>
          </cell>
          <cell r="AZ610" t="str">
            <v>B</v>
          </cell>
          <cell r="BA610" t="str">
            <v>HMC</v>
          </cell>
          <cell r="BB610" t="str">
            <v>H50B35K</v>
          </cell>
          <cell r="BC610"/>
          <cell r="BD610" t="str">
            <v>L475</v>
          </cell>
          <cell r="BE610"/>
          <cell r="BI610">
            <v>515</v>
          </cell>
          <cell r="BJ610">
            <v>997</v>
          </cell>
          <cell r="BK610">
            <v>110</v>
          </cell>
          <cell r="BL610">
            <v>73</v>
          </cell>
          <cell r="BM610"/>
          <cell r="BN610"/>
          <cell r="BO610"/>
          <cell r="BP610"/>
          <cell r="BQ610"/>
          <cell r="BR610"/>
          <cell r="BS610"/>
          <cell r="BT610"/>
          <cell r="BU610"/>
          <cell r="BV610"/>
          <cell r="BW610"/>
          <cell r="BX610"/>
          <cell r="BY610"/>
          <cell r="BZ610"/>
          <cell r="CA610"/>
          <cell r="CB610"/>
          <cell r="CC610"/>
          <cell r="CD610"/>
          <cell r="CE610"/>
          <cell r="CF610"/>
          <cell r="CG610"/>
          <cell r="CH610"/>
          <cell r="CI610"/>
          <cell r="CJ610"/>
          <cell r="CK610"/>
        </row>
        <row r="611">
          <cell r="C611">
            <v>1820</v>
          </cell>
          <cell r="D611" t="str">
            <v>MB275055</v>
          </cell>
          <cell r="E611" t="str">
            <v xml:space="preserve"> PANEL,QTR,OTR FR LH</v>
          </cell>
          <cell r="F611" t="str">
            <v>(일부+661B)적용</v>
          </cell>
          <cell r="I611">
            <v>1</v>
          </cell>
          <cell r="J611">
            <v>1</v>
          </cell>
          <cell r="K611">
            <v>1</v>
          </cell>
          <cell r="O611">
            <v>1</v>
          </cell>
          <cell r="Q611">
            <v>1</v>
          </cell>
          <cell r="S611">
            <v>1</v>
          </cell>
          <cell r="T611">
            <v>1</v>
          </cell>
          <cell r="X611">
            <v>1</v>
          </cell>
          <cell r="Y611">
            <v>1</v>
          </cell>
          <cell r="AA611">
            <v>1</v>
          </cell>
          <cell r="AE611">
            <v>1</v>
          </cell>
          <cell r="AG611">
            <v>1</v>
          </cell>
          <cell r="AI611">
            <v>1</v>
          </cell>
          <cell r="AK611">
            <v>1</v>
          </cell>
          <cell r="AS611">
            <v>1</v>
          </cell>
          <cell r="AT611">
            <v>1</v>
          </cell>
          <cell r="AU611">
            <v>1</v>
          </cell>
          <cell r="AV611">
            <v>1</v>
          </cell>
          <cell r="AX611">
            <v>1</v>
          </cell>
          <cell r="AY611">
            <v>1</v>
          </cell>
          <cell r="AZ611" t="str">
            <v>B</v>
          </cell>
          <cell r="BA611" t="str">
            <v>HMC</v>
          </cell>
          <cell r="BB611" t="str">
            <v>H50A17K</v>
          </cell>
          <cell r="BD611" t="str">
            <v>L475</v>
          </cell>
          <cell r="BI611">
            <v>888</v>
          </cell>
          <cell r="BJ611">
            <v>458</v>
          </cell>
          <cell r="BK611">
            <v>54</v>
          </cell>
          <cell r="BL611">
            <v>64</v>
          </cell>
          <cell r="BM611"/>
          <cell r="BN611"/>
          <cell r="BO611"/>
          <cell r="BP611"/>
          <cell r="BQ611"/>
          <cell r="BR611"/>
          <cell r="BS611"/>
          <cell r="BT611"/>
          <cell r="BU611"/>
          <cell r="BV611"/>
          <cell r="BW611"/>
          <cell r="BX611"/>
          <cell r="BY611"/>
          <cell r="BZ611"/>
          <cell r="CA611"/>
          <cell r="CB611"/>
          <cell r="CC611"/>
          <cell r="CD611"/>
          <cell r="CE611"/>
          <cell r="CF611"/>
          <cell r="CG611"/>
          <cell r="CH611"/>
          <cell r="CI611"/>
          <cell r="CJ611"/>
          <cell r="CK611"/>
          <cell r="CL611"/>
          <cell r="CM611"/>
          <cell r="CN611"/>
          <cell r="CO611"/>
          <cell r="CP611"/>
          <cell r="CQ611"/>
        </row>
        <row r="612">
          <cell r="C612">
            <v>1819</v>
          </cell>
          <cell r="D612" t="str">
            <v>MB275056</v>
          </cell>
          <cell r="E612" t="str">
            <v xml:space="preserve"> PANEL,QTR,OTR,FR RH</v>
          </cell>
          <cell r="F612" t="str">
            <v>-661B</v>
          </cell>
          <cell r="I612">
            <v>1</v>
          </cell>
          <cell r="J612">
            <v>1</v>
          </cell>
          <cell r="K612">
            <v>1</v>
          </cell>
          <cell r="O612">
            <v>1</v>
          </cell>
          <cell r="Q612">
            <v>1</v>
          </cell>
          <cell r="S612">
            <v>1</v>
          </cell>
          <cell r="T612">
            <v>1</v>
          </cell>
          <cell r="X612">
            <v>1</v>
          </cell>
          <cell r="Y612">
            <v>1</v>
          </cell>
          <cell r="AE612">
            <v>1</v>
          </cell>
          <cell r="AG612">
            <v>1</v>
          </cell>
          <cell r="AI612">
            <v>1</v>
          </cell>
          <cell r="AS612">
            <v>1</v>
          </cell>
          <cell r="AT612">
            <v>1</v>
          </cell>
          <cell r="AU612">
            <v>1</v>
          </cell>
          <cell r="AV612">
            <v>1</v>
          </cell>
          <cell r="AX612">
            <v>1</v>
          </cell>
          <cell r="AY612">
            <v>1</v>
          </cell>
          <cell r="AZ612" t="str">
            <v>B</v>
          </cell>
          <cell r="BA612" t="str">
            <v>HMC</v>
          </cell>
          <cell r="BB612" t="str">
            <v>H50A17K</v>
          </cell>
          <cell r="BD612" t="str">
            <v>L475</v>
          </cell>
          <cell r="BI612">
            <v>888</v>
          </cell>
          <cell r="BJ612">
            <v>458</v>
          </cell>
          <cell r="BK612">
            <v>53</v>
          </cell>
          <cell r="BL612">
            <v>64</v>
          </cell>
          <cell r="BM612"/>
          <cell r="BN612"/>
          <cell r="BO612"/>
          <cell r="BP612"/>
          <cell r="BQ612"/>
          <cell r="BR612"/>
          <cell r="BS612"/>
          <cell r="BT612"/>
          <cell r="BU612"/>
          <cell r="BV612"/>
          <cell r="BW612"/>
          <cell r="BX612"/>
          <cell r="BY612"/>
          <cell r="BZ612"/>
          <cell r="CA612"/>
          <cell r="CB612"/>
          <cell r="CC612"/>
          <cell r="CD612"/>
          <cell r="CE612"/>
          <cell r="CF612"/>
          <cell r="CG612"/>
          <cell r="CH612"/>
          <cell r="CI612"/>
          <cell r="CJ612"/>
          <cell r="CK612"/>
          <cell r="CL612"/>
          <cell r="CM612"/>
          <cell r="CN612"/>
          <cell r="CO612"/>
          <cell r="CP612"/>
          <cell r="CQ612"/>
        </row>
        <row r="613">
          <cell r="C613">
            <v>1892</v>
          </cell>
          <cell r="D613" t="str">
            <v>MB275139A</v>
          </cell>
          <cell r="E613" t="str">
            <v xml:space="preserve"> PNL,CTR PLR,OTR LH</v>
          </cell>
          <cell r="I613">
            <v>1</v>
          </cell>
          <cell r="J613">
            <v>1</v>
          </cell>
          <cell r="K613">
            <v>1</v>
          </cell>
          <cell r="O613">
            <v>1</v>
          </cell>
          <cell r="Q613">
            <v>1</v>
          </cell>
          <cell r="S613">
            <v>1</v>
          </cell>
          <cell r="T613">
            <v>1</v>
          </cell>
          <cell r="V613">
            <v>1</v>
          </cell>
          <cell r="X613">
            <v>1</v>
          </cell>
          <cell r="Y613">
            <v>1</v>
          </cell>
          <cell r="Z613">
            <v>1</v>
          </cell>
          <cell r="AA613">
            <v>1</v>
          </cell>
          <cell r="AE613">
            <v>1</v>
          </cell>
          <cell r="AG613">
            <v>1</v>
          </cell>
          <cell r="AI613">
            <v>1</v>
          </cell>
          <cell r="AJ613">
            <v>1</v>
          </cell>
          <cell r="AK613">
            <v>1</v>
          </cell>
          <cell r="AQ613">
            <v>1</v>
          </cell>
          <cell r="AR613">
            <v>1</v>
          </cell>
          <cell r="AS613">
            <v>1</v>
          </cell>
          <cell r="AT613">
            <v>1</v>
          </cell>
          <cell r="AU613">
            <v>1</v>
          </cell>
          <cell r="AV613">
            <v>1</v>
          </cell>
          <cell r="AX613">
            <v>1</v>
          </cell>
          <cell r="AY613">
            <v>1</v>
          </cell>
          <cell r="AZ613" t="str">
            <v>B</v>
          </cell>
          <cell r="BA613" t="str">
            <v>HMC</v>
          </cell>
          <cell r="BB613" t="str">
            <v>H50A17K</v>
          </cell>
          <cell r="BD613" t="str">
            <v>L475</v>
          </cell>
          <cell r="BI613">
            <v>888</v>
          </cell>
          <cell r="BJ613">
            <v>458</v>
          </cell>
          <cell r="BK613">
            <v>90</v>
          </cell>
          <cell r="BL613">
            <v>100</v>
          </cell>
          <cell r="BM613"/>
          <cell r="BN613"/>
          <cell r="BO613"/>
          <cell r="BP613"/>
          <cell r="BQ613"/>
          <cell r="BR613"/>
          <cell r="BS613"/>
          <cell r="BT613"/>
          <cell r="BU613"/>
          <cell r="BV613"/>
          <cell r="BW613"/>
          <cell r="BX613"/>
          <cell r="BY613"/>
          <cell r="BZ613"/>
          <cell r="CA613"/>
          <cell r="CB613"/>
          <cell r="CC613"/>
          <cell r="CD613"/>
          <cell r="CE613"/>
          <cell r="CF613"/>
          <cell r="CG613"/>
          <cell r="CH613"/>
          <cell r="CI613"/>
          <cell r="CJ613"/>
          <cell r="CK613"/>
          <cell r="CL613"/>
          <cell r="CM613"/>
          <cell r="CN613"/>
          <cell r="CO613"/>
          <cell r="CP613"/>
          <cell r="CQ613"/>
        </row>
        <row r="614">
          <cell r="C614">
            <v>1892</v>
          </cell>
          <cell r="D614" t="str">
            <v>MB275140A</v>
          </cell>
          <cell r="E614" t="str">
            <v xml:space="preserve"> PNL,CTR PLR,OTR RH</v>
          </cell>
          <cell r="I614">
            <v>1</v>
          </cell>
          <cell r="J614">
            <v>1</v>
          </cell>
          <cell r="K614">
            <v>1</v>
          </cell>
          <cell r="O614">
            <v>1</v>
          </cell>
          <cell r="Q614">
            <v>1</v>
          </cell>
          <cell r="S614">
            <v>1</v>
          </cell>
          <cell r="T614">
            <v>1</v>
          </cell>
          <cell r="V614">
            <v>1</v>
          </cell>
          <cell r="X614">
            <v>1</v>
          </cell>
          <cell r="Y614">
            <v>1</v>
          </cell>
          <cell r="Z614">
            <v>1</v>
          </cell>
          <cell r="AA614">
            <v>1</v>
          </cell>
          <cell r="AE614">
            <v>1</v>
          </cell>
          <cell r="AG614">
            <v>1</v>
          </cell>
          <cell r="AI614">
            <v>1</v>
          </cell>
          <cell r="AJ614">
            <v>1</v>
          </cell>
          <cell r="AK614">
            <v>1</v>
          </cell>
          <cell r="AQ614">
            <v>1</v>
          </cell>
          <cell r="AR614">
            <v>1</v>
          </cell>
          <cell r="AS614">
            <v>1</v>
          </cell>
          <cell r="AT614">
            <v>1</v>
          </cell>
          <cell r="AU614">
            <v>1</v>
          </cell>
          <cell r="AV614">
            <v>1</v>
          </cell>
          <cell r="AX614">
            <v>1</v>
          </cell>
          <cell r="AY614">
            <v>1</v>
          </cell>
          <cell r="AZ614" t="str">
            <v>B</v>
          </cell>
          <cell r="BA614" t="str">
            <v>HMC</v>
          </cell>
          <cell r="BB614" t="str">
            <v>H50A17K</v>
          </cell>
          <cell r="BD614" t="str">
            <v>L475</v>
          </cell>
          <cell r="BI614">
            <v>888</v>
          </cell>
          <cell r="BJ614">
            <v>458</v>
          </cell>
          <cell r="BK614">
            <v>90</v>
          </cell>
          <cell r="BL614">
            <v>100</v>
          </cell>
          <cell r="BM614"/>
          <cell r="BN614"/>
          <cell r="BO614"/>
          <cell r="BP614"/>
          <cell r="BQ614"/>
          <cell r="BR614"/>
          <cell r="BS614"/>
          <cell r="BT614"/>
          <cell r="BU614"/>
          <cell r="BV614"/>
          <cell r="BW614"/>
          <cell r="BX614"/>
          <cell r="BY614"/>
          <cell r="BZ614"/>
          <cell r="CA614"/>
          <cell r="CB614"/>
          <cell r="CC614"/>
          <cell r="CD614"/>
          <cell r="CE614"/>
          <cell r="CF614"/>
          <cell r="CG614"/>
          <cell r="CH614"/>
          <cell r="CI614"/>
          <cell r="CJ614"/>
          <cell r="CK614"/>
          <cell r="CL614"/>
          <cell r="CM614"/>
          <cell r="CN614"/>
          <cell r="CO614"/>
          <cell r="CP614"/>
          <cell r="CQ614"/>
        </row>
        <row r="615">
          <cell r="C615">
            <v>670</v>
          </cell>
          <cell r="D615" t="str">
            <v>MB275261A</v>
          </cell>
          <cell r="E615" t="str">
            <v xml:space="preserve"> PANEL,SIDE,OTR LH</v>
          </cell>
          <cell r="F615" t="str">
            <v>-661B</v>
          </cell>
          <cell r="H615">
            <v>1</v>
          </cell>
          <cell r="L615">
            <v>1</v>
          </cell>
          <cell r="M615">
            <v>1</v>
          </cell>
          <cell r="N615">
            <v>1</v>
          </cell>
          <cell r="R615">
            <v>1</v>
          </cell>
          <cell r="U615">
            <v>1</v>
          </cell>
          <cell r="AB615">
            <v>1</v>
          </cell>
          <cell r="AC615">
            <v>1</v>
          </cell>
          <cell r="AD615">
            <v>1</v>
          </cell>
          <cell r="AF615">
            <v>1</v>
          </cell>
          <cell r="AG615"/>
          <cell r="AH615">
            <v>1</v>
          </cell>
          <cell r="AI615"/>
          <cell r="AJ615"/>
          <cell r="AK615"/>
          <cell r="AL615">
            <v>1</v>
          </cell>
          <cell r="AM615">
            <v>1</v>
          </cell>
          <cell r="AN615">
            <v>1</v>
          </cell>
          <cell r="AO615">
            <v>1</v>
          </cell>
          <cell r="AP615"/>
          <cell r="AQ615"/>
          <cell r="AR615"/>
          <cell r="AS615"/>
          <cell r="AT615"/>
          <cell r="AU615"/>
          <cell r="AV615"/>
          <cell r="AW615">
            <v>1</v>
          </cell>
          <cell r="AX615"/>
          <cell r="AY615"/>
          <cell r="AZ615" t="str">
            <v>B</v>
          </cell>
          <cell r="BA615" t="str">
            <v>HMC</v>
          </cell>
          <cell r="BB615" t="str">
            <v>H50A17K</v>
          </cell>
          <cell r="BC615" t="str">
            <v>HQ505741</v>
          </cell>
          <cell r="BD615" t="str">
            <v>L475</v>
          </cell>
          <cell r="BE615" t="str">
            <v>S/B</v>
          </cell>
          <cell r="BF615"/>
          <cell r="BG615"/>
          <cell r="BH615"/>
          <cell r="BI615">
            <v>38</v>
          </cell>
          <cell r="BJ615">
            <v>539</v>
          </cell>
          <cell r="BK615">
            <v>28</v>
          </cell>
          <cell r="BL615">
            <v>2</v>
          </cell>
          <cell r="BM615"/>
          <cell r="BN615"/>
          <cell r="BO615"/>
          <cell r="BP615"/>
          <cell r="BQ615"/>
          <cell r="BR615"/>
          <cell r="BS615"/>
          <cell r="BT615"/>
          <cell r="BU615"/>
          <cell r="BV615"/>
          <cell r="BW615"/>
          <cell r="BX615"/>
          <cell r="BY615"/>
          <cell r="BZ615"/>
          <cell r="CA615"/>
          <cell r="CB615"/>
          <cell r="CC615"/>
          <cell r="CD615"/>
          <cell r="CE615"/>
          <cell r="CF615"/>
          <cell r="CG615"/>
          <cell r="CH615"/>
          <cell r="CI615"/>
          <cell r="CJ615"/>
          <cell r="CK615"/>
          <cell r="CL615"/>
          <cell r="CM615"/>
          <cell r="CN615"/>
          <cell r="CO615"/>
          <cell r="CP615"/>
        </row>
        <row r="616">
          <cell r="C616">
            <v>670</v>
          </cell>
          <cell r="D616" t="str">
            <v>MB275262A</v>
          </cell>
          <cell r="E616" t="str">
            <v xml:space="preserve"> PANEL,SIDE,OTR RH</v>
          </cell>
          <cell r="F616" t="str">
            <v>-661B</v>
          </cell>
          <cell r="H616">
            <v>1</v>
          </cell>
          <cell r="L616">
            <v>1</v>
          </cell>
          <cell r="M616">
            <v>1</v>
          </cell>
          <cell r="N616">
            <v>1</v>
          </cell>
          <cell r="R616">
            <v>1</v>
          </cell>
          <cell r="U616">
            <v>1</v>
          </cell>
          <cell r="AB616">
            <v>1</v>
          </cell>
          <cell r="AC616">
            <v>1</v>
          </cell>
          <cell r="AD616">
            <v>1</v>
          </cell>
          <cell r="AF616">
            <v>1</v>
          </cell>
          <cell r="AG616"/>
          <cell r="AH616">
            <v>1</v>
          </cell>
          <cell r="AI616"/>
          <cell r="AJ616"/>
          <cell r="AK616"/>
          <cell r="AL616">
            <v>1</v>
          </cell>
          <cell r="AM616">
            <v>1</v>
          </cell>
          <cell r="AN616">
            <v>1</v>
          </cell>
          <cell r="AO616">
            <v>1</v>
          </cell>
          <cell r="AP616"/>
          <cell r="AQ616"/>
          <cell r="AR616"/>
          <cell r="AS616"/>
          <cell r="AT616"/>
          <cell r="AU616"/>
          <cell r="AV616"/>
          <cell r="AW616">
            <v>1</v>
          </cell>
          <cell r="AX616"/>
          <cell r="AY616"/>
          <cell r="AZ616" t="str">
            <v>B</v>
          </cell>
          <cell r="BA616" t="str">
            <v>HMC</v>
          </cell>
          <cell r="BB616" t="str">
            <v>H50A17K</v>
          </cell>
          <cell r="BC616" t="str">
            <v>HQ505742</v>
          </cell>
          <cell r="BD616" t="str">
            <v>L475</v>
          </cell>
          <cell r="BE616" t="str">
            <v>S/B</v>
          </cell>
          <cell r="BF616"/>
          <cell r="BG616"/>
          <cell r="BH616"/>
          <cell r="BI616">
            <v>38</v>
          </cell>
          <cell r="BJ616">
            <v>539</v>
          </cell>
          <cell r="BK616">
            <v>28</v>
          </cell>
          <cell r="BL616">
            <v>2</v>
          </cell>
          <cell r="BM616"/>
          <cell r="BN616"/>
          <cell r="BO616"/>
          <cell r="BP616"/>
          <cell r="BQ616"/>
          <cell r="BR616"/>
          <cell r="BS616"/>
          <cell r="BT616"/>
          <cell r="BU616"/>
          <cell r="BV616"/>
          <cell r="BW616"/>
          <cell r="BX616"/>
          <cell r="BY616"/>
          <cell r="BZ616"/>
          <cell r="CA616"/>
          <cell r="CB616"/>
          <cell r="CC616"/>
          <cell r="CD616"/>
          <cell r="CE616"/>
          <cell r="CF616"/>
          <cell r="CG616"/>
          <cell r="CH616"/>
          <cell r="CI616"/>
          <cell r="CJ616"/>
          <cell r="CK616"/>
          <cell r="CL616"/>
          <cell r="CM616"/>
          <cell r="CN616"/>
          <cell r="CO616"/>
          <cell r="CP616"/>
        </row>
        <row r="617">
          <cell r="C617">
            <v>1417</v>
          </cell>
          <cell r="D617" t="str">
            <v>MB275265A</v>
          </cell>
          <cell r="E617" t="str">
            <v xml:space="preserve"> PANEL,QTR,OTR LH</v>
          </cell>
          <cell r="F617" t="str">
            <v>-661B</v>
          </cell>
          <cell r="I617">
            <v>1</v>
          </cell>
          <cell r="J617">
            <v>1</v>
          </cell>
          <cell r="K617">
            <v>1</v>
          </cell>
          <cell r="O617">
            <v>1</v>
          </cell>
          <cell r="S617">
            <v>1</v>
          </cell>
          <cell r="T617">
            <v>1</v>
          </cell>
          <cell r="V617">
            <v>1</v>
          </cell>
          <cell r="Y617">
            <v>1</v>
          </cell>
          <cell r="Z617">
            <v>1</v>
          </cell>
          <cell r="AA617">
            <v>1</v>
          </cell>
          <cell r="AE617">
            <v>1</v>
          </cell>
          <cell r="AG617">
            <v>1</v>
          </cell>
          <cell r="AI617">
            <v>1</v>
          </cell>
          <cell r="AJ617">
            <v>1</v>
          </cell>
          <cell r="AK617">
            <v>1</v>
          </cell>
          <cell r="AQ617">
            <v>1</v>
          </cell>
          <cell r="AR617">
            <v>1</v>
          </cell>
          <cell r="AS617">
            <v>1</v>
          </cell>
          <cell r="AU617">
            <v>1</v>
          </cell>
          <cell r="AV617">
            <v>1</v>
          </cell>
          <cell r="AX617">
            <v>1</v>
          </cell>
          <cell r="AY617">
            <v>1</v>
          </cell>
          <cell r="AZ617" t="str">
            <v>B</v>
          </cell>
          <cell r="BA617" t="str">
            <v>HMC</v>
          </cell>
          <cell r="BB617" t="str">
            <v>H50A17K</v>
          </cell>
          <cell r="BC617" t="str">
            <v>HQ505725</v>
          </cell>
          <cell r="BD617" t="str">
            <v>L475</v>
          </cell>
          <cell r="BI617">
            <v>633</v>
          </cell>
          <cell r="BJ617">
            <v>456</v>
          </cell>
          <cell r="BK617">
            <v>90</v>
          </cell>
          <cell r="BL617">
            <v>100</v>
          </cell>
          <cell r="BM617"/>
          <cell r="BN617"/>
          <cell r="BO617"/>
          <cell r="BP617"/>
          <cell r="BQ617"/>
          <cell r="BR617"/>
          <cell r="BS617"/>
          <cell r="BT617"/>
          <cell r="BU617"/>
          <cell r="BV617"/>
          <cell r="BW617"/>
          <cell r="BX617"/>
          <cell r="BY617"/>
          <cell r="BZ617"/>
          <cell r="CA617"/>
          <cell r="CB617"/>
          <cell r="CC617"/>
          <cell r="CD617"/>
          <cell r="CE617"/>
          <cell r="CF617"/>
          <cell r="CG617"/>
          <cell r="CH617"/>
          <cell r="CI617"/>
          <cell r="CJ617"/>
          <cell r="CK617"/>
          <cell r="CL617"/>
          <cell r="CM617"/>
          <cell r="CN617"/>
          <cell r="CO617"/>
          <cell r="CP617"/>
          <cell r="CQ617"/>
        </row>
        <row r="618">
          <cell r="C618">
            <v>1417</v>
          </cell>
          <cell r="D618" t="str">
            <v>MB275266A</v>
          </cell>
          <cell r="E618" t="str">
            <v xml:space="preserve"> PANEL,QTR,OTR RH</v>
          </cell>
          <cell r="F618" t="str">
            <v>-661B</v>
          </cell>
          <cell r="I618">
            <v>1</v>
          </cell>
          <cell r="J618">
            <v>1</v>
          </cell>
          <cell r="K618">
            <v>1</v>
          </cell>
          <cell r="O618">
            <v>1</v>
          </cell>
          <cell r="S618">
            <v>1</v>
          </cell>
          <cell r="T618">
            <v>1</v>
          </cell>
          <cell r="V618">
            <v>1</v>
          </cell>
          <cell r="Y618">
            <v>1</v>
          </cell>
          <cell r="Z618">
            <v>1</v>
          </cell>
          <cell r="AA618">
            <v>1</v>
          </cell>
          <cell r="AE618">
            <v>1</v>
          </cell>
          <cell r="AG618">
            <v>1</v>
          </cell>
          <cell r="AI618">
            <v>1</v>
          </cell>
          <cell r="AJ618">
            <v>1</v>
          </cell>
          <cell r="AK618">
            <v>1</v>
          </cell>
          <cell r="AQ618">
            <v>1</v>
          </cell>
          <cell r="AR618">
            <v>1</v>
          </cell>
          <cell r="AS618">
            <v>1</v>
          </cell>
          <cell r="AU618">
            <v>1</v>
          </cell>
          <cell r="AV618">
            <v>1</v>
          </cell>
          <cell r="AX618">
            <v>1</v>
          </cell>
          <cell r="AY618">
            <v>1</v>
          </cell>
          <cell r="AZ618" t="str">
            <v>B</v>
          </cell>
          <cell r="BA618" t="str">
            <v>HMC</v>
          </cell>
          <cell r="BB618" t="str">
            <v>H50A17K</v>
          </cell>
          <cell r="BC618" t="str">
            <v>HQ505726</v>
          </cell>
          <cell r="BD618" t="str">
            <v>L475</v>
          </cell>
          <cell r="BI618">
            <v>633</v>
          </cell>
          <cell r="BJ618">
            <v>456</v>
          </cell>
          <cell r="BK618">
            <v>90</v>
          </cell>
          <cell r="BL618">
            <v>100</v>
          </cell>
          <cell r="BM618"/>
          <cell r="BN618"/>
          <cell r="BO618"/>
          <cell r="BP618"/>
          <cell r="BQ618"/>
          <cell r="BR618"/>
          <cell r="BS618"/>
          <cell r="BT618"/>
          <cell r="BU618"/>
          <cell r="BV618"/>
          <cell r="BW618"/>
          <cell r="BX618"/>
          <cell r="BY618"/>
          <cell r="BZ618"/>
          <cell r="CA618"/>
          <cell r="CB618"/>
          <cell r="CC618"/>
          <cell r="CD618"/>
          <cell r="CE618"/>
          <cell r="CF618"/>
          <cell r="CG618"/>
          <cell r="CH618"/>
          <cell r="CI618"/>
          <cell r="CJ618"/>
          <cell r="CK618"/>
          <cell r="CL618"/>
          <cell r="CM618"/>
          <cell r="CN618"/>
          <cell r="CO618"/>
          <cell r="CP618"/>
          <cell r="CQ618"/>
        </row>
        <row r="619">
          <cell r="C619">
            <v>680</v>
          </cell>
          <cell r="D619" t="str">
            <v>MB275267A</v>
          </cell>
          <cell r="E619" t="str">
            <v xml:space="preserve"> PANEL,ROOF</v>
          </cell>
          <cell r="H619">
            <v>1</v>
          </cell>
          <cell r="L619">
            <v>1</v>
          </cell>
          <cell r="M619">
            <v>1</v>
          </cell>
          <cell r="N619">
            <v>1</v>
          </cell>
          <cell r="P619">
            <v>1</v>
          </cell>
          <cell r="R619">
            <v>1</v>
          </cell>
          <cell r="U619">
            <v>1</v>
          </cell>
          <cell r="W619">
            <v>1</v>
          </cell>
          <cell r="AB619">
            <v>1</v>
          </cell>
          <cell r="AC619">
            <v>1</v>
          </cell>
          <cell r="AD619">
            <v>1</v>
          </cell>
          <cell r="AF619">
            <v>1</v>
          </cell>
          <cell r="AG619"/>
          <cell r="AH619">
            <v>1</v>
          </cell>
          <cell r="AI619"/>
          <cell r="AJ619"/>
          <cell r="AK619"/>
          <cell r="AL619">
            <v>1</v>
          </cell>
          <cell r="AM619">
            <v>1</v>
          </cell>
          <cell r="AN619">
            <v>1</v>
          </cell>
          <cell r="AO619"/>
          <cell r="AP619">
            <v>1</v>
          </cell>
          <cell r="AQ619"/>
          <cell r="AR619"/>
          <cell r="AS619"/>
          <cell r="AT619"/>
          <cell r="AU619"/>
          <cell r="AV619"/>
          <cell r="AW619">
            <v>1</v>
          </cell>
          <cell r="AX619"/>
          <cell r="AY619"/>
          <cell r="AZ619" t="str">
            <v>B</v>
          </cell>
          <cell r="BA619" t="str">
            <v>HMC</v>
          </cell>
          <cell r="BB619" t="str">
            <v>H50A20K</v>
          </cell>
          <cell r="BC619"/>
          <cell r="BD619" t="str">
            <v>L475</v>
          </cell>
          <cell r="BE619" t="str">
            <v>S/B</v>
          </cell>
          <cell r="BF619"/>
          <cell r="BG619"/>
          <cell r="BH619"/>
          <cell r="BI619">
            <v>49</v>
          </cell>
          <cell r="BJ619">
            <v>539</v>
          </cell>
          <cell r="BK619">
            <v>20</v>
          </cell>
          <cell r="BL619">
            <v>2</v>
          </cell>
          <cell r="BM619"/>
          <cell r="BN619"/>
          <cell r="BO619"/>
          <cell r="BP619"/>
          <cell r="BQ619"/>
          <cell r="BR619"/>
          <cell r="BS619"/>
          <cell r="BT619"/>
          <cell r="BU619"/>
          <cell r="BV619"/>
          <cell r="BW619"/>
          <cell r="BX619"/>
          <cell r="BY619"/>
          <cell r="BZ619"/>
          <cell r="CA619"/>
          <cell r="CB619"/>
          <cell r="CC619"/>
          <cell r="CD619"/>
          <cell r="CE619"/>
          <cell r="CF619"/>
          <cell r="CG619"/>
          <cell r="CH619"/>
          <cell r="CI619"/>
          <cell r="CJ619"/>
          <cell r="CK619"/>
          <cell r="CL619"/>
          <cell r="CM619"/>
          <cell r="CN619"/>
          <cell r="CO619"/>
          <cell r="CP619"/>
        </row>
        <row r="620">
          <cell r="C620">
            <v>1378</v>
          </cell>
          <cell r="D620" t="str">
            <v>MB275550A</v>
          </cell>
          <cell r="E620" t="str">
            <v xml:space="preserve"> PANEL,ROOF</v>
          </cell>
          <cell r="I620">
            <v>1</v>
          </cell>
          <cell r="J620">
            <v>1</v>
          </cell>
          <cell r="K620">
            <v>1</v>
          </cell>
          <cell r="O620">
            <v>1</v>
          </cell>
          <cell r="Q620">
            <v>1</v>
          </cell>
          <cell r="V620">
            <v>1</v>
          </cell>
          <cell r="X620">
            <v>1</v>
          </cell>
          <cell r="AE620">
            <v>1</v>
          </cell>
          <cell r="AG620">
            <v>1</v>
          </cell>
          <cell r="AI620">
            <v>1</v>
          </cell>
          <cell r="AJ620">
            <v>1</v>
          </cell>
          <cell r="AK620">
            <v>1</v>
          </cell>
          <cell r="AQ620">
            <v>1</v>
          </cell>
          <cell r="AR620">
            <v>1</v>
          </cell>
          <cell r="AS620">
            <v>1</v>
          </cell>
          <cell r="AT620">
            <v>1</v>
          </cell>
          <cell r="AZ620" t="str">
            <v>B</v>
          </cell>
          <cell r="BA620" t="str">
            <v>HMC</v>
          </cell>
          <cell r="BB620" t="str">
            <v>H50A20K</v>
          </cell>
          <cell r="BD620" t="str">
            <v>L475</v>
          </cell>
          <cell r="BI620">
            <v>888</v>
          </cell>
          <cell r="BJ620">
            <v>2</v>
          </cell>
          <cell r="BK620">
            <v>90</v>
          </cell>
          <cell r="BL620">
            <v>65</v>
          </cell>
          <cell r="BM620"/>
          <cell r="BN620"/>
          <cell r="BO620"/>
          <cell r="BP620"/>
          <cell r="BQ620"/>
          <cell r="BR620"/>
          <cell r="BS620"/>
          <cell r="BT620"/>
          <cell r="BU620"/>
          <cell r="BV620"/>
          <cell r="BW620"/>
          <cell r="BX620"/>
          <cell r="BY620"/>
          <cell r="BZ620"/>
          <cell r="CA620"/>
          <cell r="CB620"/>
          <cell r="CC620"/>
          <cell r="CD620"/>
          <cell r="CE620"/>
          <cell r="CF620"/>
          <cell r="CG620"/>
          <cell r="CH620"/>
          <cell r="CI620"/>
          <cell r="CJ620"/>
          <cell r="CK620"/>
          <cell r="CL620"/>
          <cell r="CM620"/>
          <cell r="CN620"/>
          <cell r="CO620"/>
          <cell r="CP620"/>
          <cell r="CQ620"/>
        </row>
        <row r="621">
          <cell r="C621">
            <v>2584</v>
          </cell>
          <cell r="D621" t="str">
            <v>MB275829A</v>
          </cell>
          <cell r="E621" t="str">
            <v xml:space="preserve"> FENDER,FRONT LH</v>
          </cell>
          <cell r="F621" t="str">
            <v>-661B(실ALL)</v>
          </cell>
          <cell r="G621">
            <v>1</v>
          </cell>
          <cell r="AZ621" t="str">
            <v>B</v>
          </cell>
          <cell r="BA621" t="str">
            <v>HMC</v>
          </cell>
          <cell r="BB621" t="str">
            <v>H50C30K</v>
          </cell>
          <cell r="BD621" t="str">
            <v>L475</v>
          </cell>
          <cell r="BE621" t="str">
            <v>ALL</v>
          </cell>
          <cell r="BI621">
            <v>0</v>
          </cell>
          <cell r="BJ621">
            <v>0</v>
          </cell>
          <cell r="BK621">
            <v>0</v>
          </cell>
          <cell r="BL621">
            <v>0</v>
          </cell>
          <cell r="BM621"/>
          <cell r="BN621"/>
          <cell r="BO621"/>
          <cell r="BP621"/>
          <cell r="BQ621"/>
          <cell r="BR621"/>
          <cell r="BS621"/>
          <cell r="BT621"/>
          <cell r="BU621"/>
          <cell r="BV621"/>
          <cell r="BW621"/>
          <cell r="BX621"/>
          <cell r="BY621"/>
          <cell r="BZ621"/>
          <cell r="CA621"/>
          <cell r="CB621"/>
          <cell r="CC621"/>
          <cell r="CD621"/>
          <cell r="CE621"/>
          <cell r="CF621"/>
          <cell r="CG621"/>
          <cell r="CH621"/>
          <cell r="CI621"/>
          <cell r="CJ621"/>
          <cell r="CK621"/>
        </row>
        <row r="622">
          <cell r="C622">
            <v>2584</v>
          </cell>
          <cell r="D622" t="str">
            <v>MB275830B</v>
          </cell>
          <cell r="E622" t="str">
            <v xml:space="preserve"> FENDER,FRONT RH</v>
          </cell>
          <cell r="F622" t="str">
            <v>-661B(실ALL)</v>
          </cell>
          <cell r="G622">
            <v>1</v>
          </cell>
          <cell r="AZ622" t="str">
            <v>B</v>
          </cell>
          <cell r="BA622" t="str">
            <v>HMC</v>
          </cell>
          <cell r="BB622" t="str">
            <v>H50C30K</v>
          </cell>
          <cell r="BD622" t="str">
            <v>L475</v>
          </cell>
          <cell r="BE622" t="str">
            <v>ALL</v>
          </cell>
          <cell r="BI622">
            <v>0</v>
          </cell>
          <cell r="BJ622">
            <v>0</v>
          </cell>
          <cell r="BK622">
            <v>0</v>
          </cell>
          <cell r="BL622">
            <v>0</v>
          </cell>
          <cell r="BM622"/>
          <cell r="BN622"/>
          <cell r="BO622"/>
          <cell r="BP622"/>
          <cell r="BQ622"/>
          <cell r="BR622"/>
          <cell r="BS622"/>
          <cell r="BT622"/>
          <cell r="BU622"/>
          <cell r="BV622"/>
          <cell r="BW622"/>
          <cell r="BX622"/>
          <cell r="BY622"/>
          <cell r="BZ622"/>
          <cell r="CA622"/>
          <cell r="CB622"/>
          <cell r="CC622"/>
          <cell r="CD622"/>
          <cell r="CE622"/>
          <cell r="CF622"/>
          <cell r="CG622"/>
          <cell r="CH622"/>
          <cell r="CI622"/>
          <cell r="CJ622"/>
          <cell r="CK622"/>
        </row>
        <row r="623">
          <cell r="C623">
            <v>1393</v>
          </cell>
          <cell r="D623" t="str">
            <v>MB275957A</v>
          </cell>
          <cell r="E623" t="str">
            <v xml:space="preserve"> PNL-RR FLR </v>
          </cell>
          <cell r="J623">
            <v>1</v>
          </cell>
          <cell r="K623">
            <v>1</v>
          </cell>
          <cell r="O623">
            <v>1</v>
          </cell>
          <cell r="Q623">
            <v>1</v>
          </cell>
          <cell r="X623">
            <v>1</v>
          </cell>
          <cell r="AE623">
            <v>1</v>
          </cell>
          <cell r="AI623">
            <v>1</v>
          </cell>
          <cell r="AJ623">
            <v>1</v>
          </cell>
          <cell r="AK623">
            <v>1</v>
          </cell>
          <cell r="AQ623">
            <v>1</v>
          </cell>
          <cell r="AR623">
            <v>1</v>
          </cell>
          <cell r="AS623">
            <v>1</v>
          </cell>
          <cell r="AT623">
            <v>1</v>
          </cell>
          <cell r="AU623">
            <v>1</v>
          </cell>
          <cell r="AV623">
            <v>1</v>
          </cell>
          <cell r="AX623">
            <v>1</v>
          </cell>
          <cell r="AY623">
            <v>1</v>
          </cell>
          <cell r="AZ623" t="str">
            <v>B</v>
          </cell>
          <cell r="BA623" t="str">
            <v>HMC</v>
          </cell>
        </row>
        <row r="624">
          <cell r="C624">
            <v>2399</v>
          </cell>
          <cell r="D624" t="str">
            <v>MB337117A</v>
          </cell>
          <cell r="E624" t="str">
            <v xml:space="preserve"> PANEL,B/DR,OTR</v>
          </cell>
          <cell r="J624">
            <v>1</v>
          </cell>
          <cell r="K624">
            <v>1</v>
          </cell>
          <cell r="L624">
            <v>1</v>
          </cell>
          <cell r="M624">
            <v>1</v>
          </cell>
          <cell r="N624">
            <v>1</v>
          </cell>
          <cell r="O624">
            <v>1</v>
          </cell>
          <cell r="P624">
            <v>1</v>
          </cell>
          <cell r="Q624">
            <v>1</v>
          </cell>
          <cell r="R624">
            <v>1</v>
          </cell>
          <cell r="S624">
            <v>1</v>
          </cell>
          <cell r="T624">
            <v>1</v>
          </cell>
          <cell r="W624">
            <v>1</v>
          </cell>
          <cell r="X624">
            <v>1</v>
          </cell>
          <cell r="Z624">
            <v>1</v>
          </cell>
          <cell r="AB624">
            <v>1</v>
          </cell>
          <cell r="AD624">
            <v>1</v>
          </cell>
          <cell r="AE624">
            <v>1</v>
          </cell>
          <cell r="AH624">
            <v>1</v>
          </cell>
          <cell r="AI624">
            <v>1</v>
          </cell>
          <cell r="AO624">
            <v>1</v>
          </cell>
          <cell r="AP624">
            <v>1</v>
          </cell>
          <cell r="AS624">
            <v>1</v>
          </cell>
          <cell r="AT624">
            <v>1</v>
          </cell>
          <cell r="AZ624" t="str">
            <v>B</v>
          </cell>
          <cell r="BA624" t="str">
            <v>HMC</v>
          </cell>
          <cell r="BB624" t="str">
            <v>H50B33K</v>
          </cell>
          <cell r="BD624" t="str">
            <v>L475</v>
          </cell>
          <cell r="BI624">
            <v>917</v>
          </cell>
          <cell r="BJ624">
            <v>997</v>
          </cell>
          <cell r="BK624">
            <v>61</v>
          </cell>
          <cell r="BL624">
            <v>29</v>
          </cell>
          <cell r="BM624"/>
          <cell r="BN624"/>
          <cell r="BO624"/>
          <cell r="BP624"/>
          <cell r="BQ624"/>
          <cell r="BR624"/>
          <cell r="BS624"/>
          <cell r="BT624"/>
          <cell r="BU624"/>
          <cell r="BV624"/>
          <cell r="BW624"/>
          <cell r="BX624"/>
          <cell r="BY624"/>
          <cell r="BZ624"/>
          <cell r="CA624"/>
          <cell r="CB624"/>
          <cell r="CC624"/>
          <cell r="CD624"/>
          <cell r="CE624"/>
          <cell r="CF624"/>
          <cell r="CG624"/>
          <cell r="CH624"/>
          <cell r="CI624"/>
          <cell r="CJ624"/>
          <cell r="CK624"/>
          <cell r="CL624"/>
          <cell r="CM624"/>
          <cell r="CN624"/>
          <cell r="CO624"/>
          <cell r="CP624"/>
          <cell r="CQ624"/>
        </row>
        <row r="625">
          <cell r="C625">
            <v>940</v>
          </cell>
          <cell r="D625" t="str">
            <v>MB365297A</v>
          </cell>
          <cell r="E625" t="str">
            <v xml:space="preserve"> PANEL,R/DR,OUTER LH</v>
          </cell>
          <cell r="F625" t="str">
            <v>-661B</v>
          </cell>
          <cell r="I625">
            <v>1</v>
          </cell>
          <cell r="J625">
            <v>1</v>
          </cell>
          <cell r="S625">
            <v>1</v>
          </cell>
          <cell r="T625">
            <v>1</v>
          </cell>
          <cell r="V625">
            <v>1</v>
          </cell>
          <cell r="Y625">
            <v>1</v>
          </cell>
          <cell r="Z625">
            <v>1</v>
          </cell>
          <cell r="AA625">
            <v>1</v>
          </cell>
          <cell r="AE625">
            <v>1</v>
          </cell>
          <cell r="AG625">
            <v>1</v>
          </cell>
          <cell r="AI625">
            <v>1</v>
          </cell>
          <cell r="AJ625">
            <v>1</v>
          </cell>
          <cell r="AK625">
            <v>1</v>
          </cell>
          <cell r="AQ625">
            <v>1</v>
          </cell>
          <cell r="AR625">
            <v>1</v>
          </cell>
          <cell r="AS625">
            <v>1</v>
          </cell>
          <cell r="AU625">
            <v>1</v>
          </cell>
          <cell r="AV625">
            <v>1</v>
          </cell>
          <cell r="AX625">
            <v>1</v>
          </cell>
          <cell r="AY625">
            <v>1</v>
          </cell>
          <cell r="AZ625" t="str">
            <v>B</v>
          </cell>
          <cell r="BA625" t="str">
            <v>HMC</v>
          </cell>
          <cell r="BB625" t="str">
            <v>H50B32K</v>
          </cell>
          <cell r="BD625" t="str">
            <v>L475</v>
          </cell>
          <cell r="BI625">
            <v>253</v>
          </cell>
          <cell r="BJ625">
            <v>456</v>
          </cell>
          <cell r="BK625">
            <v>90</v>
          </cell>
          <cell r="BL625">
            <v>100</v>
          </cell>
          <cell r="BM625"/>
          <cell r="BN625"/>
          <cell r="BO625"/>
          <cell r="BP625"/>
          <cell r="BQ625"/>
          <cell r="BR625"/>
          <cell r="BS625"/>
          <cell r="BT625"/>
          <cell r="BU625"/>
          <cell r="BV625"/>
          <cell r="BW625"/>
          <cell r="BX625"/>
          <cell r="BY625"/>
          <cell r="BZ625"/>
          <cell r="CA625"/>
          <cell r="CB625"/>
          <cell r="CC625"/>
          <cell r="CD625"/>
          <cell r="CE625"/>
          <cell r="CF625"/>
          <cell r="CG625"/>
          <cell r="CH625"/>
          <cell r="CI625"/>
          <cell r="CJ625"/>
          <cell r="CK625"/>
          <cell r="CL625"/>
          <cell r="CM625"/>
          <cell r="CN625"/>
          <cell r="CO625"/>
          <cell r="CP625"/>
          <cell r="CQ625"/>
        </row>
        <row r="626">
          <cell r="C626">
            <v>940</v>
          </cell>
          <cell r="D626" t="str">
            <v>MB365298A</v>
          </cell>
          <cell r="E626" t="str">
            <v xml:space="preserve"> PANEL,R/DR,OUTER RH</v>
          </cell>
          <cell r="F626" t="str">
            <v>-661B</v>
          </cell>
          <cell r="I626">
            <v>1</v>
          </cell>
          <cell r="J626">
            <v>1</v>
          </cell>
          <cell r="S626">
            <v>1</v>
          </cell>
          <cell r="T626">
            <v>1</v>
          </cell>
          <cell r="V626">
            <v>1</v>
          </cell>
          <cell r="Y626">
            <v>1</v>
          </cell>
          <cell r="Z626">
            <v>1</v>
          </cell>
          <cell r="AA626">
            <v>1</v>
          </cell>
          <cell r="AE626">
            <v>1</v>
          </cell>
          <cell r="AG626">
            <v>1</v>
          </cell>
          <cell r="AI626">
            <v>1</v>
          </cell>
          <cell r="AJ626">
            <v>1</v>
          </cell>
          <cell r="AK626">
            <v>1</v>
          </cell>
          <cell r="AQ626">
            <v>1</v>
          </cell>
          <cell r="AR626">
            <v>1</v>
          </cell>
          <cell r="AS626">
            <v>1</v>
          </cell>
          <cell r="AU626">
            <v>1</v>
          </cell>
          <cell r="AV626">
            <v>1</v>
          </cell>
          <cell r="AX626">
            <v>1</v>
          </cell>
          <cell r="AY626">
            <v>1</v>
          </cell>
          <cell r="AZ626" t="str">
            <v>B</v>
          </cell>
          <cell r="BA626" t="str">
            <v>HMC</v>
          </cell>
          <cell r="BB626" t="str">
            <v>H50B32K</v>
          </cell>
          <cell r="BD626" t="str">
            <v>L475</v>
          </cell>
          <cell r="BI626">
            <v>253</v>
          </cell>
          <cell r="BJ626">
            <v>456</v>
          </cell>
          <cell r="BK626">
            <v>90</v>
          </cell>
          <cell r="BL626">
            <v>100</v>
          </cell>
          <cell r="BM626"/>
          <cell r="BN626"/>
          <cell r="BO626"/>
          <cell r="BP626"/>
          <cell r="BQ626"/>
          <cell r="BR626"/>
          <cell r="BS626"/>
          <cell r="BT626"/>
          <cell r="BU626"/>
          <cell r="BV626"/>
          <cell r="BW626"/>
          <cell r="BX626"/>
          <cell r="BY626"/>
          <cell r="BZ626"/>
          <cell r="CA626"/>
          <cell r="CB626"/>
          <cell r="CC626"/>
          <cell r="CD626"/>
          <cell r="CE626"/>
          <cell r="CF626"/>
          <cell r="CG626"/>
          <cell r="CH626"/>
          <cell r="CI626"/>
          <cell r="CJ626"/>
          <cell r="CK626"/>
          <cell r="CL626"/>
          <cell r="CM626"/>
          <cell r="CN626"/>
          <cell r="CO626"/>
          <cell r="CP626"/>
          <cell r="CQ626"/>
        </row>
        <row r="627">
          <cell r="C627">
            <v>767</v>
          </cell>
          <cell r="D627" t="str">
            <v>MB591442</v>
          </cell>
          <cell r="E627" t="str">
            <v xml:space="preserve"> PANEL,HOOD OUTER</v>
          </cell>
          <cell r="N627">
            <v>1</v>
          </cell>
          <cell r="O627">
            <v>1</v>
          </cell>
          <cell r="P627">
            <v>1</v>
          </cell>
          <cell r="Q627">
            <v>1</v>
          </cell>
          <cell r="Z627">
            <v>1</v>
          </cell>
          <cell r="AO627">
            <v>1</v>
          </cell>
          <cell r="AS627">
            <v>1</v>
          </cell>
          <cell r="AT627">
            <v>1</v>
          </cell>
          <cell r="AZ627" t="str">
            <v>B</v>
          </cell>
          <cell r="BA627" t="str">
            <v>HMC</v>
          </cell>
          <cell r="BB627" t="str">
            <v>H50B35K</v>
          </cell>
          <cell r="BC627" t="str">
            <v>IC1</v>
          </cell>
          <cell r="BD627" t="str">
            <v>L475</v>
          </cell>
          <cell r="BE627" t="str">
            <v>TCI</v>
          </cell>
          <cell r="BI627">
            <v>422</v>
          </cell>
          <cell r="BJ627">
            <v>0</v>
          </cell>
          <cell r="BK627">
            <v>8</v>
          </cell>
          <cell r="BL627">
            <v>29</v>
          </cell>
          <cell r="BM627"/>
          <cell r="BN627"/>
          <cell r="BO627"/>
          <cell r="BP627"/>
          <cell r="BQ627"/>
          <cell r="BR627"/>
          <cell r="BS627"/>
          <cell r="BT627"/>
          <cell r="BU627"/>
          <cell r="BV627"/>
          <cell r="BW627"/>
          <cell r="BX627"/>
          <cell r="BY627"/>
          <cell r="BZ627"/>
          <cell r="CA627"/>
          <cell r="CB627"/>
          <cell r="CC627"/>
          <cell r="CD627"/>
          <cell r="CE627"/>
          <cell r="CF627"/>
          <cell r="CG627"/>
          <cell r="CH627"/>
          <cell r="CI627"/>
          <cell r="CJ627"/>
          <cell r="CK627"/>
          <cell r="CL627"/>
        </row>
        <row r="628">
          <cell r="C628">
            <v>767</v>
          </cell>
          <cell r="D628" t="str">
            <v>MB591443</v>
          </cell>
          <cell r="E628" t="str">
            <v xml:space="preserve"> PANEL,HOOD INNER</v>
          </cell>
          <cell r="N628">
            <v>1</v>
          </cell>
          <cell r="O628">
            <v>1</v>
          </cell>
          <cell r="P628">
            <v>1</v>
          </cell>
          <cell r="Q628">
            <v>1</v>
          </cell>
          <cell r="Z628">
            <v>1</v>
          </cell>
          <cell r="AO628">
            <v>1</v>
          </cell>
          <cell r="AS628">
            <v>1</v>
          </cell>
          <cell r="AT628">
            <v>1</v>
          </cell>
          <cell r="AZ628" t="str">
            <v>B</v>
          </cell>
          <cell r="BA628" t="str">
            <v>HMC</v>
          </cell>
          <cell r="BB628" t="str">
            <v>H50B35K</v>
          </cell>
          <cell r="BC628" t="str">
            <v>IC1</v>
          </cell>
          <cell r="BD628" t="str">
            <v>L475</v>
          </cell>
          <cell r="BE628" t="str">
            <v>TCI</v>
          </cell>
          <cell r="BI628">
            <v>422</v>
          </cell>
          <cell r="BJ628">
            <v>0</v>
          </cell>
          <cell r="BK628">
            <v>8</v>
          </cell>
          <cell r="BL628">
            <v>29</v>
          </cell>
          <cell r="BM628"/>
          <cell r="BN628"/>
          <cell r="BO628"/>
          <cell r="BP628"/>
          <cell r="BQ628"/>
          <cell r="BR628"/>
          <cell r="BS628"/>
          <cell r="BT628"/>
          <cell r="BU628"/>
          <cell r="BV628"/>
          <cell r="BW628"/>
          <cell r="BX628"/>
          <cell r="BY628"/>
          <cell r="BZ628"/>
          <cell r="CA628"/>
          <cell r="CB628"/>
          <cell r="CC628"/>
          <cell r="CD628"/>
          <cell r="CE628"/>
          <cell r="CF628"/>
          <cell r="CG628"/>
          <cell r="CH628"/>
          <cell r="CI628"/>
          <cell r="CJ628"/>
          <cell r="CK628"/>
          <cell r="CL628"/>
        </row>
        <row r="629">
          <cell r="C629">
            <v>692</v>
          </cell>
          <cell r="D629" t="str">
            <v>MB591565A</v>
          </cell>
          <cell r="E629" t="str">
            <v xml:space="preserve"> PNL,RR FLOOR</v>
          </cell>
          <cell r="H629">
            <v>1</v>
          </cell>
          <cell r="L629">
            <v>1</v>
          </cell>
          <cell r="M629">
            <v>1</v>
          </cell>
          <cell r="N629">
            <v>1</v>
          </cell>
          <cell r="P629">
            <v>1</v>
          </cell>
          <cell r="R629">
            <v>1</v>
          </cell>
          <cell r="U629">
            <v>1</v>
          </cell>
          <cell r="W629">
            <v>1</v>
          </cell>
          <cell r="AB629">
            <v>1</v>
          </cell>
          <cell r="AC629">
            <v>1</v>
          </cell>
          <cell r="AD629">
            <v>1</v>
          </cell>
          <cell r="AF629">
            <v>1</v>
          </cell>
          <cell r="AG629"/>
          <cell r="AH629">
            <v>1</v>
          </cell>
          <cell r="AI629"/>
          <cell r="AJ629"/>
          <cell r="AK629"/>
          <cell r="AL629">
            <v>1</v>
          </cell>
          <cell r="AM629">
            <v>1</v>
          </cell>
          <cell r="AN629">
            <v>1</v>
          </cell>
          <cell r="AO629">
            <v>1</v>
          </cell>
          <cell r="AP629">
            <v>1</v>
          </cell>
          <cell r="AQ629"/>
          <cell r="AR629"/>
          <cell r="AS629"/>
          <cell r="AT629"/>
          <cell r="AU629"/>
          <cell r="AV629"/>
          <cell r="AW629">
            <v>1</v>
          </cell>
          <cell r="AX629"/>
          <cell r="AY629"/>
          <cell r="AZ629" t="str">
            <v>B</v>
          </cell>
          <cell r="BA629" t="str">
            <v>HMC</v>
          </cell>
          <cell r="BB629" t="str">
            <v>H50A12K</v>
          </cell>
          <cell r="BC629"/>
          <cell r="BD629" t="str">
            <v>L475</v>
          </cell>
          <cell r="BE629" t="str">
            <v>S/B</v>
          </cell>
          <cell r="BF629"/>
          <cell r="BG629"/>
          <cell r="BH629"/>
          <cell r="BI629">
            <v>49</v>
          </cell>
          <cell r="BJ629">
            <v>539</v>
          </cell>
          <cell r="BK629">
            <v>28</v>
          </cell>
          <cell r="BL629">
            <v>2</v>
          </cell>
          <cell r="BM629"/>
          <cell r="BN629"/>
          <cell r="BO629"/>
          <cell r="BP629"/>
          <cell r="BQ629"/>
          <cell r="BR629"/>
          <cell r="BS629"/>
          <cell r="BT629"/>
          <cell r="BU629"/>
          <cell r="BV629"/>
          <cell r="BW629"/>
          <cell r="BX629"/>
          <cell r="BY629"/>
          <cell r="BZ629"/>
          <cell r="CA629"/>
          <cell r="CB629"/>
          <cell r="CC629"/>
          <cell r="CD629"/>
          <cell r="CE629"/>
          <cell r="CF629"/>
          <cell r="CG629"/>
          <cell r="CH629"/>
          <cell r="CI629"/>
          <cell r="CJ629"/>
          <cell r="CK629"/>
          <cell r="CL629"/>
          <cell r="CM629"/>
          <cell r="CN629"/>
          <cell r="CO629"/>
          <cell r="CP629"/>
        </row>
        <row r="630">
          <cell r="C630">
            <v>2584</v>
          </cell>
          <cell r="D630" t="str">
            <v>MB591753B</v>
          </cell>
          <cell r="E630" t="str">
            <v xml:space="preserve"> PILLER FR OTR LH</v>
          </cell>
          <cell r="G630">
            <v>1</v>
          </cell>
          <cell r="AZ630" t="str">
            <v>B</v>
          </cell>
          <cell r="BA630" t="str">
            <v>HMC</v>
          </cell>
          <cell r="BB630" t="str">
            <v>H50A16K</v>
          </cell>
          <cell r="BD630" t="str">
            <v>L475</v>
          </cell>
          <cell r="BE630" t="str">
            <v>ALL</v>
          </cell>
          <cell r="BI630">
            <v>0</v>
          </cell>
          <cell r="BJ630">
            <v>0</v>
          </cell>
          <cell r="BK630">
            <v>0</v>
          </cell>
          <cell r="BL630">
            <v>0</v>
          </cell>
          <cell r="BM630"/>
          <cell r="BN630"/>
          <cell r="BO630"/>
          <cell r="BP630"/>
          <cell r="BQ630"/>
          <cell r="BR630"/>
          <cell r="BS630"/>
          <cell r="BT630"/>
          <cell r="BU630"/>
          <cell r="BV630"/>
          <cell r="BW630"/>
          <cell r="BX630"/>
          <cell r="BY630"/>
          <cell r="BZ630"/>
          <cell r="CA630"/>
          <cell r="CB630"/>
          <cell r="CC630"/>
          <cell r="CD630"/>
          <cell r="CE630"/>
          <cell r="CF630"/>
          <cell r="CG630"/>
          <cell r="CH630"/>
          <cell r="CI630"/>
          <cell r="CJ630"/>
          <cell r="CK630"/>
        </row>
        <row r="631">
          <cell r="C631">
            <v>1145</v>
          </cell>
          <cell r="D631" t="str">
            <v>HQ506251</v>
          </cell>
          <cell r="E631" t="str">
            <v xml:space="preserve"> FENDER-FR.LH</v>
          </cell>
          <cell r="F631" t="str">
            <v>+661B</v>
          </cell>
          <cell r="K631">
            <v>1</v>
          </cell>
          <cell r="M631">
            <v>1</v>
          </cell>
          <cell r="N631">
            <v>1</v>
          </cell>
          <cell r="O631">
            <v>1</v>
          </cell>
          <cell r="P631">
            <v>1</v>
          </cell>
          <cell r="Q631">
            <v>1</v>
          </cell>
          <cell r="W631">
            <v>1</v>
          </cell>
          <cell r="X631">
            <v>1</v>
          </cell>
          <cell r="AE631">
            <v>1</v>
          </cell>
          <cell r="AH631">
            <v>1</v>
          </cell>
          <cell r="AI631">
            <v>1</v>
          </cell>
          <cell r="AO631">
            <v>1</v>
          </cell>
          <cell r="AP631">
            <v>1</v>
          </cell>
          <cell r="AS631">
            <v>1</v>
          </cell>
          <cell r="AT631">
            <v>1</v>
          </cell>
          <cell r="AW631">
            <v>1</v>
          </cell>
          <cell r="AZ631" t="str">
            <v>B</v>
          </cell>
          <cell r="BA631" t="str">
            <v>L475</v>
          </cell>
        </row>
        <row r="632">
          <cell r="C632">
            <v>1145</v>
          </cell>
          <cell r="D632" t="str">
            <v>HQ506252</v>
          </cell>
          <cell r="E632" t="str">
            <v xml:space="preserve"> FENDER-FR.RH</v>
          </cell>
          <cell r="F632" t="str">
            <v>+661B</v>
          </cell>
          <cell r="K632">
            <v>1</v>
          </cell>
          <cell r="M632">
            <v>1</v>
          </cell>
          <cell r="N632">
            <v>1</v>
          </cell>
          <cell r="O632">
            <v>1</v>
          </cell>
          <cell r="P632">
            <v>1</v>
          </cell>
          <cell r="Q632">
            <v>1</v>
          </cell>
          <cell r="W632">
            <v>1</v>
          </cell>
          <cell r="X632">
            <v>1</v>
          </cell>
          <cell r="AE632">
            <v>1</v>
          </cell>
          <cell r="AH632">
            <v>1</v>
          </cell>
          <cell r="AI632">
            <v>1</v>
          </cell>
          <cell r="AO632">
            <v>1</v>
          </cell>
          <cell r="AP632">
            <v>1</v>
          </cell>
          <cell r="AS632">
            <v>1</v>
          </cell>
          <cell r="AT632">
            <v>1</v>
          </cell>
          <cell r="AW632">
            <v>1</v>
          </cell>
          <cell r="AZ632" t="str">
            <v>B</v>
          </cell>
          <cell r="BA632" t="str">
            <v>L475</v>
          </cell>
        </row>
        <row r="633">
          <cell r="C633">
            <v>0</v>
          </cell>
          <cell r="D633" t="str">
            <v>HQ730061</v>
          </cell>
          <cell r="E633" t="str">
            <v xml:space="preserve"> BRKT I/PANNER,LH</v>
          </cell>
        </row>
        <row r="634">
          <cell r="C634">
            <v>0</v>
          </cell>
          <cell r="D634" t="str">
            <v>HQ780062</v>
          </cell>
          <cell r="E634" t="str">
            <v xml:space="preserve"> BRKT I/PANNER,RH</v>
          </cell>
        </row>
        <row r="635">
          <cell r="C635">
            <v>0</v>
          </cell>
          <cell r="D635" t="str">
            <v>HQ803150</v>
          </cell>
          <cell r="E635" t="str">
            <v xml:space="preserve"> BRKT ABS/ECU</v>
          </cell>
        </row>
        <row r="636">
          <cell r="C636">
            <v>0</v>
          </cell>
          <cell r="D636" t="str">
            <v>HQ803250</v>
          </cell>
          <cell r="E636" t="str">
            <v xml:space="preserve"> BRKT-G/SENSOR</v>
          </cell>
        </row>
        <row r="637">
          <cell r="C637">
            <v>0</v>
          </cell>
          <cell r="D637" t="str">
            <v>MB115166</v>
          </cell>
          <cell r="E637" t="str">
            <v xml:space="preserve"> BRKT - CONDENSER TANK</v>
          </cell>
        </row>
        <row r="638">
          <cell r="C638">
            <v>0</v>
          </cell>
          <cell r="D638" t="str">
            <v>MB275279</v>
          </cell>
          <cell r="E638" t="str">
            <v xml:space="preserve"> CHANNEL-DRIP,RR</v>
          </cell>
          <cell r="F638" t="str">
            <v>유상사급</v>
          </cell>
        </row>
        <row r="639">
          <cell r="C639">
            <v>0</v>
          </cell>
          <cell r="D639" t="str">
            <v>MB351507A</v>
          </cell>
          <cell r="E639" t="str">
            <v xml:space="preserve"> BRKT - OIL COOLER</v>
          </cell>
        </row>
        <row r="640">
          <cell r="C640">
            <v>0</v>
          </cell>
          <cell r="D640" t="str">
            <v>MB356296B</v>
          </cell>
          <cell r="E640" t="str">
            <v xml:space="preserve"> PNL - FR DR DTR,RH</v>
          </cell>
        </row>
        <row r="641">
          <cell r="C641">
            <v>0</v>
          </cell>
          <cell r="D641" t="str">
            <v>MB365295B</v>
          </cell>
          <cell r="E641" t="str">
            <v xml:space="preserve"> PNL - FR DR OTR,LH</v>
          </cell>
        </row>
        <row r="642">
          <cell r="C642">
            <v>0</v>
          </cell>
          <cell r="D642" t="str">
            <v>MB380637A</v>
          </cell>
          <cell r="E642" t="str">
            <v xml:space="preserve"> RETAINTE,B</v>
          </cell>
        </row>
        <row r="643">
          <cell r="C643">
            <v>0</v>
          </cell>
          <cell r="D643" t="str">
            <v>MB577456A</v>
          </cell>
          <cell r="E643" t="str">
            <v xml:space="preserve"> BRKT-EXXH CLAMP</v>
          </cell>
        </row>
        <row r="644">
          <cell r="C644">
            <v>0</v>
          </cell>
          <cell r="D644" t="str">
            <v>MB581138B</v>
          </cell>
          <cell r="E644" t="str">
            <v xml:space="preserve"> BRKT-ENGINE SUPPORT RR</v>
          </cell>
        </row>
        <row r="645">
          <cell r="C645">
            <v>0</v>
          </cell>
          <cell r="D645" t="str">
            <v>MD134563</v>
          </cell>
          <cell r="E645" t="str">
            <v xml:space="preserve"> BRKT-ENGINE SUPPORT,RH</v>
          </cell>
        </row>
        <row r="646">
          <cell r="C646">
            <v>0</v>
          </cell>
          <cell r="D646" t="str">
            <v>MD138822</v>
          </cell>
          <cell r="E646" t="str">
            <v xml:space="preserve"> BRKT-ENGINE SUPPORT,LH</v>
          </cell>
        </row>
        <row r="647">
          <cell r="C647">
            <v>0</v>
          </cell>
          <cell r="D647" t="str">
            <v>MD734297</v>
          </cell>
          <cell r="E647" t="str">
            <v xml:space="preserve"> PROTECTOR-HEAT</v>
          </cell>
        </row>
        <row r="648">
          <cell r="C648">
            <v>0</v>
          </cell>
          <cell r="D648" t="str">
            <v>XB275898A</v>
          </cell>
          <cell r="E648" t="str">
            <v xml:space="preserve"> BRKT-CANISTER</v>
          </cell>
        </row>
        <row r="769">
          <cell r="A769"/>
          <cell r="C769"/>
          <cell r="E769"/>
          <cell r="G769"/>
          <cell r="I769"/>
          <cell r="K769"/>
          <cell r="M769"/>
          <cell r="O769"/>
          <cell r="Q769"/>
          <cell r="S769"/>
          <cell r="U769"/>
          <cell r="V769"/>
          <cell r="W769"/>
          <cell r="BD769"/>
          <cell r="BE769" t="b">
            <v>1</v>
          </cell>
          <cell r="BG769"/>
          <cell r="BJ769"/>
          <cell r="BL769"/>
          <cell r="BO769"/>
          <cell r="BQ769"/>
          <cell r="BR769" t="b">
            <v>1</v>
          </cell>
          <cell r="BT769"/>
          <cell r="BV769" t="b">
            <v>1</v>
          </cell>
          <cell r="BX769"/>
          <cell r="BZ769" t="b">
            <v>1</v>
          </cell>
          <cell r="CB769"/>
          <cell r="CD769" t="b">
            <v>1</v>
          </cell>
          <cell r="CF769"/>
          <cell r="CH769" t="b">
            <v>1</v>
          </cell>
          <cell r="CJ769"/>
          <cell r="CS769"/>
          <cell r="CT769"/>
          <cell r="CV769"/>
          <cell r="DB769"/>
          <cell r="DD769"/>
          <cell r="DE769"/>
          <cell r="DL769"/>
          <cell r="DO769"/>
          <cell r="DQ769"/>
          <cell r="DT769"/>
          <cell r="DW769"/>
          <cell r="DY769"/>
        </row>
        <row r="2561">
          <cell r="AE2561"/>
          <cell r="AG2561"/>
          <cell r="AJ2561"/>
          <cell r="AL2561"/>
          <cell r="AM2561" t="b">
            <v>1</v>
          </cell>
          <cell r="AO2561"/>
          <cell r="AR2561"/>
          <cell r="AT2561"/>
          <cell r="AV2561"/>
          <cell r="AX2561"/>
          <cell r="AZ2561"/>
          <cell r="BB2561"/>
          <cell r="BD2561"/>
          <cell r="BF2561"/>
          <cell r="BH2561"/>
        </row>
        <row r="4099">
          <cell r="F4099"/>
          <cell r="I4099"/>
          <cell r="O4099"/>
          <cell r="CN4099"/>
          <cell r="CP4099"/>
          <cell r="CS4099"/>
          <cell r="CV4099"/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0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showGridLines="0" workbookViewId="0">
      <selection activeCell="K8" sqref="K8"/>
    </sheetView>
  </sheetViews>
  <sheetFormatPr baseColWidth="8" defaultColWidth="9.5" defaultRowHeight="40.15" customHeight="1"/>
  <cols>
    <col width="9.5" customWidth="1" style="259" min="1" max="16384"/>
  </cols>
  <sheetData>
    <row r="1"/>
    <row r="2"/>
    <row r="3"/>
    <row r="4" ht="40.15" customHeight="1" s="372" thickBot="1">
      <c r="B4" s="295" t="inlineStr">
        <is>
          <t>20  년도 경영검토</t>
        </is>
      </c>
      <c r="C4" s="373" t="n"/>
      <c r="D4" s="373" t="n"/>
      <c r="E4" s="373" t="n"/>
      <c r="F4" s="373" t="n"/>
      <c r="G4" s="373" t="n"/>
      <c r="H4" s="373" t="n"/>
      <c r="I4" s="373" t="n"/>
      <c r="J4" s="373" t="n"/>
      <c r="K4" s="373" t="n"/>
      <c r="L4" s="373" t="n"/>
    </row>
    <row r="5" ht="40.15" customHeight="1" s="372" thickTop="1"/>
    <row r="6"/>
    <row r="7"/>
    <row r="8" ht="40.15" customHeight="1" s="372">
      <c r="F8" s="296" t="inlineStr">
        <is>
          <t>20  년  월  일</t>
        </is>
      </c>
    </row>
    <row r="9"/>
    <row r="10"/>
    <row r="11" ht="40.15" customHeight="1" s="372">
      <c r="D11" s="297" t="inlineStr">
        <is>
          <t>(회사명)</t>
        </is>
      </c>
    </row>
  </sheetData>
  <mergeCells count="3">
    <mergeCell ref="B4:L4"/>
    <mergeCell ref="D11:J11"/>
    <mergeCell ref="F8:H8"/>
  </mergeCells>
  <printOptions horizontalCentered="1" verticalCentered="1"/>
  <pageMargins left="0.25" right="0.25" top="0.75" bottom="0.75" header="0.3" footer="0.3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zoomScaleNormal="100" workbookViewId="0">
      <selection activeCell="E15" sqref="E15"/>
    </sheetView>
  </sheetViews>
  <sheetFormatPr baseColWidth="8" defaultColWidth="9.375" defaultRowHeight="20.1" customHeight="1"/>
  <cols>
    <col width="12.625" customWidth="1" style="361" min="1" max="1"/>
    <col width="11.875" customWidth="1" style="361" min="2" max="2"/>
    <col width="49" customWidth="1" style="361" min="3" max="3"/>
    <col width="11.125" customWidth="1" style="361" min="4" max="4"/>
    <col width="42.375" customWidth="1" style="361" min="5" max="5"/>
    <col width="9.375" customWidth="1" style="361" min="6" max="16384"/>
  </cols>
  <sheetData>
    <row r="1" ht="24.95" customHeight="1" s="372">
      <c r="A1" s="298" t="inlineStr">
        <is>
          <t>경영검토 목차</t>
        </is>
      </c>
    </row>
    <row r="2" ht="18" customHeight="1" s="372">
      <c r="A2" s="3" t="inlineStr">
        <is>
          <t>경영시스템</t>
        </is>
      </c>
      <c r="B2" s="308" t="inlineStr">
        <is>
          <t>순번</t>
        </is>
      </c>
      <c r="C2" s="308" t="inlineStr">
        <is>
          <t>항목</t>
        </is>
      </c>
      <c r="D2" s="308" t="inlineStr">
        <is>
          <t>작성 유무</t>
        </is>
      </c>
      <c r="E2" s="5" t="inlineStr">
        <is>
          <t>비고</t>
        </is>
      </c>
    </row>
    <row r="3" ht="18" customHeight="1" s="372">
      <c r="A3" s="299" t="inlineStr">
        <is>
          <t>QMS
(ISO 9001)</t>
        </is>
      </c>
      <c r="B3" s="6" t="inlineStr">
        <is>
          <t>Part Ⅰ-1</t>
        </is>
      </c>
      <c r="C3" s="7" t="inlineStr">
        <is>
          <t>직전 년도 경영검토 조치 사항</t>
        </is>
      </c>
      <c r="D3" s="6" t="n"/>
      <c r="E3" s="8" t="n"/>
    </row>
    <row r="4" ht="18" customHeight="1" s="372">
      <c r="A4" s="374" t="n"/>
      <c r="B4" s="6" t="inlineStr">
        <is>
          <t>Part Ⅰ-2</t>
        </is>
      </c>
      <c r="C4" s="7" t="inlineStr">
        <is>
          <t>경영시스템 관련 외부/내부 이슈의 변경사항</t>
        </is>
      </c>
      <c r="D4" s="6" t="n"/>
      <c r="E4" s="8" t="n"/>
    </row>
    <row r="5" ht="18" customHeight="1" s="372">
      <c r="A5" s="374" t="n"/>
      <c r="B5" s="6" t="inlineStr">
        <is>
          <t>Part Ⅰ-3</t>
        </is>
      </c>
      <c r="C5" s="7" t="inlineStr">
        <is>
          <t>고객만족도 및 이해관계자 피드백</t>
        </is>
      </c>
      <c r="D5" s="6" t="n"/>
      <c r="E5" s="8" t="n"/>
    </row>
    <row r="6" ht="18" customHeight="1" s="372">
      <c r="A6" s="374" t="n"/>
      <c r="B6" s="6" t="inlineStr">
        <is>
          <t>Part Ⅰ-4</t>
        </is>
      </c>
      <c r="C6" s="7" t="inlineStr">
        <is>
          <t>품질목표의 달성 정도</t>
        </is>
      </c>
      <c r="D6" s="6" t="n"/>
      <c r="E6" s="8" t="inlineStr">
        <is>
          <t xml:space="preserve">품질 목표(경영방침, 경영목표) 관리현황　</t>
        </is>
      </c>
    </row>
    <row r="7" ht="18" customHeight="1" s="372">
      <c r="A7" s="374" t="n"/>
      <c r="B7" s="6" t="inlineStr">
        <is>
          <t>Part Ⅰ-5</t>
        </is>
      </c>
      <c r="C7" s="7" t="inlineStr">
        <is>
          <t>해당 년도 성과지표 &amp; 제품 및 서비스 적정성</t>
        </is>
      </c>
      <c r="D7" s="6" t="n"/>
      <c r="E7" s="8" t="inlineStr">
        <is>
          <t xml:space="preserve">프로세스별로 </t>
        </is>
      </c>
    </row>
    <row r="8" ht="18" customHeight="1" s="372">
      <c r="A8" s="374" t="n"/>
      <c r="B8" s="6" t="inlineStr">
        <is>
          <t>Part Ⅰ-6</t>
        </is>
      </c>
      <c r="C8" s="7" t="inlineStr">
        <is>
          <t>부적합 및 시정조치</t>
        </is>
      </c>
      <c r="D8" s="6" t="n"/>
      <c r="E8" s="8" t="n"/>
    </row>
    <row r="9" ht="18" customHeight="1" s="372">
      <c r="A9" s="374" t="n"/>
      <c r="B9" s="6" t="inlineStr">
        <is>
          <t>Part Ⅰ-7</t>
        </is>
      </c>
      <c r="C9" s="7" t="inlineStr">
        <is>
          <t>모니터링 및 측정 결과</t>
        </is>
      </c>
      <c r="D9" s="6" t="n"/>
      <c r="E9" s="8" t="inlineStr">
        <is>
          <t>제품 검사 성과</t>
        </is>
      </c>
    </row>
    <row r="10" ht="18" customHeight="1" s="372">
      <c r="A10" s="374" t="n"/>
      <c r="B10" s="6" t="inlineStr">
        <is>
          <t>Part Ⅰ-8</t>
        </is>
      </c>
      <c r="C10" s="7" t="inlineStr">
        <is>
          <t>내/외부 심사 결과</t>
        </is>
      </c>
      <c r="D10" s="6" t="n"/>
      <c r="E10" s="8" t="inlineStr">
        <is>
          <t>내부심사, 고객 심사, 3자 심사</t>
        </is>
      </c>
    </row>
    <row r="11" ht="18" customHeight="1" s="372">
      <c r="A11" s="374" t="n"/>
      <c r="B11" s="6" t="inlineStr">
        <is>
          <t>Part Ⅰ-9</t>
        </is>
      </c>
      <c r="C11" s="7" t="inlineStr">
        <is>
          <t>외부공급자의 성과</t>
        </is>
      </c>
      <c r="D11" s="6" t="n"/>
      <c r="E11" s="8" t="n"/>
    </row>
    <row r="12" ht="18" customHeight="1" s="372">
      <c r="A12" s="374" t="n"/>
      <c r="B12" s="6" t="inlineStr">
        <is>
          <t>Part Ⅰ-10</t>
        </is>
      </c>
      <c r="C12" s="7" t="inlineStr">
        <is>
          <t>자원의 충족성</t>
        </is>
      </c>
      <c r="D12" s="6" t="n"/>
      <c r="E12" s="8" t="n"/>
    </row>
    <row r="13" ht="18" customHeight="1" s="372">
      <c r="A13" s="374" t="n"/>
      <c r="B13" s="6" t="inlineStr">
        <is>
          <t>Part Ⅰ-11</t>
        </is>
      </c>
      <c r="C13" s="7" t="inlineStr">
        <is>
          <t>조치의 효과성(기회와 리스크에 대한 조치의 효과성)</t>
        </is>
      </c>
      <c r="D13" s="6" t="n"/>
      <c r="E13" s="8" t="n"/>
    </row>
    <row r="14" ht="18" customHeight="1" s="372">
      <c r="A14" s="375" t="n"/>
      <c r="B14" s="6" t="inlineStr">
        <is>
          <t>Part Ⅰ-12</t>
        </is>
      </c>
      <c r="C14" s="7" t="inlineStr">
        <is>
          <t>개선의 기회와 개선내역</t>
        </is>
      </c>
      <c r="D14" s="6" t="n"/>
      <c r="E14" s="8" t="n"/>
    </row>
    <row r="15" ht="18" customHeight="1" s="372">
      <c r="A15" s="299" t="inlineStr">
        <is>
          <t>QMS
(IATF 16949)</t>
        </is>
      </c>
      <c r="B15" s="6" t="inlineStr">
        <is>
          <t>Part Ⅱ-1</t>
        </is>
      </c>
      <c r="C15" s="7" t="inlineStr">
        <is>
          <t>품질비용(Q-Cost)</t>
        </is>
      </c>
      <c r="D15" s="6" t="n"/>
      <c r="E15" s="8" t="inlineStr">
        <is>
          <t>저품질 비용(내부, 외부 부적합 비용)</t>
        </is>
      </c>
    </row>
    <row r="16" ht="18" customHeight="1" s="372">
      <c r="A16" s="374" t="n"/>
      <c r="B16" s="6" t="inlineStr">
        <is>
          <t>Part Ⅱ-2</t>
        </is>
      </c>
      <c r="C16" s="7" t="inlineStr">
        <is>
          <t>프로세스 효과성의 측정치</t>
        </is>
      </c>
      <c r="D16" s="6" t="n"/>
      <c r="E16" s="8" t="inlineStr">
        <is>
          <t>적용 가능하고 제품 실현 프로세스 사례가 있는 경우 작성</t>
        </is>
      </c>
    </row>
    <row r="17" ht="18" customHeight="1" s="372">
      <c r="A17" s="374" t="n"/>
      <c r="B17" s="6" t="inlineStr">
        <is>
          <t>Part Ⅱ-3</t>
        </is>
      </c>
      <c r="C17" s="7" t="inlineStr">
        <is>
          <t>프로세스 효율성의 측정치</t>
        </is>
      </c>
      <c r="D17" s="6" t="n"/>
      <c r="E17" s="8" t="n"/>
    </row>
    <row r="18" ht="18" customHeight="1" s="372">
      <c r="A18" s="374" t="n"/>
      <c r="B18" s="6" t="inlineStr">
        <is>
          <t>Part Ⅱ-4</t>
        </is>
      </c>
      <c r="C18" s="7" t="inlineStr">
        <is>
          <t>제품적합성</t>
        </is>
      </c>
      <c r="D18" s="6" t="n"/>
      <c r="E18" s="8" t="n"/>
    </row>
    <row r="19" ht="18" customHeight="1" s="372">
      <c r="A19" s="374" t="n"/>
      <c r="B19" s="6" t="inlineStr">
        <is>
          <t>Part Ⅱ-5</t>
        </is>
      </c>
      <c r="C19" s="7" t="inlineStr">
        <is>
          <t>신규 공정, 설비, 제품 제조 타당성 확인 및 평가</t>
        </is>
      </c>
      <c r="D19" s="6" t="n"/>
      <c r="E19" s="8" t="inlineStr">
        <is>
          <t>신제품이 있는 경우</t>
        </is>
      </c>
    </row>
    <row r="20" ht="18" customHeight="1" s="372">
      <c r="A20" s="374" t="n"/>
      <c r="B20" s="6" t="inlineStr">
        <is>
          <t>Part Ⅱ-6</t>
        </is>
      </c>
      <c r="C20" s="7" t="inlineStr">
        <is>
          <t>고객만족도 및 점수</t>
        </is>
      </c>
      <c r="D20" s="6" t="n"/>
      <c r="E20" s="8" t="n"/>
    </row>
    <row r="21" ht="18" customHeight="1" s="372">
      <c r="A21" s="374" t="n"/>
      <c r="B21" s="6" t="inlineStr">
        <is>
          <t>Part Ⅱ-7</t>
        </is>
      </c>
      <c r="C21" s="7" t="inlineStr">
        <is>
          <t>보존 목표 대비 성과 검토</t>
        </is>
      </c>
      <c r="D21" s="6" t="n"/>
      <c r="E21" s="8" t="n"/>
    </row>
    <row r="22" ht="18" customHeight="1" s="372">
      <c r="A22" s="374" t="n"/>
      <c r="B22" s="6" t="inlineStr">
        <is>
          <t>Part Ⅱ-8</t>
        </is>
      </c>
      <c r="C22" s="7" t="inlineStr">
        <is>
          <t>보증 성과(해당 시)</t>
        </is>
      </c>
      <c r="D22" s="6" t="n"/>
      <c r="E22" s="8" t="inlineStr">
        <is>
          <t>시행 보증서비스에 한 해 작성</t>
        </is>
      </c>
    </row>
    <row r="23" ht="18" customHeight="1" s="372">
      <c r="A23" s="374" t="n"/>
      <c r="B23" s="6" t="inlineStr">
        <is>
          <t>Part Ⅱ-9</t>
        </is>
      </c>
      <c r="C23" s="7" t="inlineStr">
        <is>
          <t>리스크 분석에 따른 고장형태 분석</t>
        </is>
      </c>
      <c r="D23" s="6" t="n"/>
      <c r="E23" s="8" t="inlineStr">
        <is>
          <t xml:space="preserve">FMEA와 같은　</t>
        </is>
      </c>
    </row>
    <row r="24" ht="18" customHeight="1" s="372">
      <c r="A24" s="374" t="n"/>
      <c r="B24" s="6" t="inlineStr">
        <is>
          <t>Part Ⅱ-10</t>
        </is>
      </c>
      <c r="C24" s="7" t="inlineStr">
        <is>
          <t>필드고장, 환경 안전 영향 평가</t>
        </is>
      </c>
      <c r="D24" s="6" t="n"/>
      <c r="E24" s="8" t="n"/>
    </row>
    <row r="25" ht="18" customHeight="1" s="372">
      <c r="A25" s="374" t="n"/>
      <c r="B25" s="6" t="inlineStr">
        <is>
          <t>Part Ⅱ-11</t>
        </is>
      </c>
      <c r="C25" s="7" t="inlineStr">
        <is>
          <t>제품 및 공정의 설계와 개발 단계에서 측정 요약 결과</t>
        </is>
      </c>
      <c r="D25" s="6" t="n"/>
      <c r="E25" s="8" t="inlineStr">
        <is>
          <t>개발제품이 있고 해당 사항이 요구된 경우</t>
        </is>
      </c>
    </row>
    <row r="26" ht="18" customHeight="1" s="372">
      <c r="A26" s="375" t="n"/>
      <c r="B26" s="9" t="inlineStr">
        <is>
          <t>Part Ⅱ-12</t>
        </is>
      </c>
      <c r="C26" s="10" t="inlineStr">
        <is>
          <t>제품 및 공정의 설계와 개발 동안 명시된 단계에서 측정의 요약 결과</t>
        </is>
      </c>
      <c r="D26" s="9" t="n"/>
      <c r="E26" s="11" t="inlineStr">
        <is>
          <t>해당되는 경우</t>
        </is>
      </c>
    </row>
  </sheetData>
  <mergeCells count="3">
    <mergeCell ref="A3:A14"/>
    <mergeCell ref="A1:E1"/>
    <mergeCell ref="A15:A26"/>
  </mergeCells>
  <printOptions horizontalCentered="1" verticalCentered="1"/>
  <pageMargins left="0.25" right="0.25" top="0.75" bottom="0.75" header="0.3" footer="0.3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zoomScaleNormal="100" workbookViewId="0">
      <selection activeCell="G30" sqref="G30"/>
    </sheetView>
  </sheetViews>
  <sheetFormatPr baseColWidth="8" defaultColWidth="9.5" defaultRowHeight="16.15" customHeight="1"/>
  <cols>
    <col width="3.625" customWidth="1" style="361" min="1" max="1"/>
    <col width="12.625" customWidth="1" style="361" min="2" max="2"/>
    <col width="23.5" customWidth="1" style="361" min="3" max="3"/>
    <col width="25.625" customWidth="1" style="361" min="4" max="4"/>
    <col width="10.625" customWidth="1" style="27" min="5" max="5"/>
    <col width="25.875" customWidth="1" style="27" min="6" max="6"/>
    <col width="12.625" customWidth="1" style="27" min="7" max="8"/>
    <col width="5.125" customWidth="1" style="361" min="9" max="226"/>
    <col width="9.5" customWidth="1" style="361" min="227" max="16384"/>
  </cols>
  <sheetData>
    <row r="1" ht="24.95" customHeight="1" s="372">
      <c r="A1" s="12" t="inlineStr">
        <is>
          <t>Part Ⅰ-1. (         )년도 경영검토 조치 사항</t>
        </is>
      </c>
      <c r="B1" s="12" t="n"/>
      <c r="C1" s="12" t="n"/>
      <c r="D1" s="12" t="n"/>
      <c r="E1" s="298" t="n"/>
      <c r="F1" s="298" t="n"/>
      <c r="G1" s="298" t="n"/>
      <c r="H1" s="298" t="n"/>
    </row>
    <row r="2" ht="20.1" customHeight="1" s="372"/>
    <row r="3" ht="20.1" customHeight="1" s="372">
      <c r="A3" s="13" t="inlineStr">
        <is>
          <t>NO.</t>
        </is>
      </c>
      <c r="B3" s="3" t="inlineStr">
        <is>
          <t>구분</t>
        </is>
      </c>
      <c r="C3" s="308" t="inlineStr">
        <is>
          <t>경영검토 조치 요구사항</t>
        </is>
      </c>
      <c r="D3" s="308" t="inlineStr">
        <is>
          <t>조치사항 요약</t>
        </is>
      </c>
      <c r="E3" s="308" t="inlineStr">
        <is>
          <t>성과지표</t>
        </is>
      </c>
      <c r="F3" s="308" t="inlineStr">
        <is>
          <t>조치성과</t>
        </is>
      </c>
      <c r="G3" s="308" t="inlineStr">
        <is>
          <t>완료일</t>
        </is>
      </c>
      <c r="H3" s="5" t="inlineStr">
        <is>
          <t>부서/담당자</t>
        </is>
      </c>
    </row>
    <row r="4" ht="20.1" customHeight="1" s="372">
      <c r="A4" s="14" t="n"/>
      <c r="B4" s="15" t="n"/>
      <c r="C4" s="16" t="n"/>
      <c r="D4" s="16" t="n"/>
      <c r="E4" s="17" t="n"/>
      <c r="F4" s="17" t="n"/>
      <c r="G4" s="17" t="n"/>
      <c r="H4" s="18" t="n"/>
    </row>
    <row r="5" ht="20.1" customHeight="1" s="372">
      <c r="A5" s="360" t="n"/>
      <c r="B5" s="20" t="n"/>
      <c r="C5" s="21" t="n"/>
      <c r="D5" s="21" t="n"/>
      <c r="E5" s="22" t="n"/>
      <c r="F5" s="22" t="n"/>
      <c r="G5" s="22" t="n"/>
      <c r="H5" s="23" t="n"/>
    </row>
    <row r="6" ht="20.1" customHeight="1" s="372">
      <c r="A6" s="360" t="n"/>
      <c r="B6" s="20" t="n"/>
      <c r="C6" s="21" t="n"/>
      <c r="D6" s="21" t="n"/>
      <c r="E6" s="22" t="n"/>
      <c r="F6" s="22" t="n"/>
      <c r="G6" s="22" t="n"/>
      <c r="H6" s="23" t="n"/>
    </row>
    <row r="7" ht="20.1" customHeight="1" s="372">
      <c r="A7" s="360" t="n"/>
      <c r="B7" s="20" t="n"/>
      <c r="C7" s="21" t="n"/>
      <c r="D7" s="21" t="n"/>
      <c r="E7" s="22" t="n"/>
      <c r="F7" s="22" t="n"/>
      <c r="G7" s="22" t="n"/>
      <c r="H7" s="23" t="n"/>
    </row>
    <row r="8" ht="20.1" customHeight="1" s="372">
      <c r="A8" s="360" t="n"/>
      <c r="B8" s="20" t="n"/>
      <c r="C8" s="21" t="n"/>
      <c r="D8" s="21" t="n"/>
      <c r="E8" s="22" t="n"/>
      <c r="F8" s="22" t="n"/>
      <c r="G8" s="22" t="n"/>
      <c r="H8" s="23" t="n"/>
    </row>
    <row r="9" ht="20.1" customHeight="1" s="372">
      <c r="A9" s="360" t="n"/>
      <c r="B9" s="20" t="n"/>
      <c r="C9" s="21" t="n"/>
      <c r="D9" s="21" t="n"/>
      <c r="E9" s="22" t="n"/>
      <c r="F9" s="22" t="n"/>
      <c r="G9" s="22" t="n"/>
      <c r="H9" s="23" t="n"/>
    </row>
    <row r="10" ht="20.1" customHeight="1" s="372">
      <c r="A10" s="360" t="n"/>
      <c r="B10" s="20" t="n"/>
      <c r="C10" s="21" t="n"/>
      <c r="D10" s="21" t="n"/>
      <c r="E10" s="22" t="n"/>
      <c r="F10" s="22" t="n"/>
      <c r="G10" s="22" t="n"/>
      <c r="H10" s="23" t="n"/>
    </row>
    <row r="11" ht="20.1" customHeight="1" s="372">
      <c r="A11" s="360" t="n"/>
      <c r="B11" s="20" t="n"/>
      <c r="C11" s="21" t="n"/>
      <c r="D11" s="21" t="n"/>
      <c r="E11" s="22" t="n"/>
      <c r="F11" s="22" t="n"/>
      <c r="G11" s="22" t="n"/>
      <c r="H11" s="23" t="n"/>
    </row>
    <row r="12" ht="20.1" customHeight="1" s="372">
      <c r="A12" s="360" t="n"/>
      <c r="B12" s="20" t="n"/>
      <c r="C12" s="21" t="n"/>
      <c r="D12" s="21" t="n"/>
      <c r="E12" s="22" t="n"/>
      <c r="F12" s="22" t="n"/>
      <c r="G12" s="22" t="n"/>
      <c r="H12" s="23" t="n"/>
    </row>
    <row r="13" ht="20.1" customHeight="1" s="372">
      <c r="A13" s="360" t="n"/>
      <c r="B13" s="20" t="n"/>
      <c r="C13" s="21" t="n"/>
      <c r="D13" s="21" t="n"/>
      <c r="E13" s="22" t="n"/>
      <c r="F13" s="22" t="n"/>
      <c r="G13" s="22" t="n"/>
      <c r="H13" s="23" t="n"/>
    </row>
    <row r="14" ht="20.1" customHeight="1" s="372">
      <c r="A14" s="360" t="n"/>
      <c r="B14" s="20" t="n"/>
      <c r="C14" s="21" t="n"/>
      <c r="D14" s="21" t="n"/>
      <c r="E14" s="22" t="n"/>
      <c r="F14" s="22" t="n"/>
      <c r="G14" s="22" t="n"/>
      <c r="H14" s="23" t="n"/>
    </row>
    <row r="15" ht="20.1" customHeight="1" s="372">
      <c r="A15" s="360" t="n"/>
      <c r="B15" s="20" t="n"/>
      <c r="C15" s="21" t="n"/>
      <c r="D15" s="21" t="n"/>
      <c r="E15" s="22" t="n"/>
      <c r="F15" s="22" t="n"/>
      <c r="G15" s="22" t="n"/>
      <c r="H15" s="23" t="n"/>
    </row>
    <row r="16" ht="20.1" customHeight="1" s="372">
      <c r="A16" s="360" t="n"/>
      <c r="B16" s="20" t="n"/>
      <c r="C16" s="21" t="n"/>
      <c r="D16" s="21" t="n"/>
      <c r="E16" s="22" t="n"/>
      <c r="F16" s="22" t="n"/>
      <c r="G16" s="22" t="n"/>
      <c r="H16" s="23" t="n"/>
    </row>
    <row r="17" ht="20.1" customHeight="1" s="372">
      <c r="A17" s="360" t="n"/>
      <c r="B17" s="20" t="n"/>
      <c r="C17" s="21" t="n"/>
      <c r="D17" s="21" t="n"/>
      <c r="E17" s="22" t="n"/>
      <c r="F17" s="22" t="n"/>
      <c r="G17" s="22" t="n"/>
      <c r="H17" s="23" t="n"/>
    </row>
    <row r="18" ht="20.1" customHeight="1" s="372">
      <c r="A18" s="360" t="n"/>
      <c r="B18" s="20" t="n"/>
      <c r="C18" s="21" t="n"/>
      <c r="D18" s="21" t="n"/>
      <c r="E18" s="22" t="n"/>
      <c r="F18" s="22" t="n"/>
      <c r="G18" s="22" t="n"/>
      <c r="H18" s="23" t="n"/>
    </row>
    <row r="19" ht="20.1" customHeight="1" s="372">
      <c r="A19" s="360" t="n"/>
      <c r="B19" s="20" t="n"/>
      <c r="C19" s="21" t="n"/>
      <c r="D19" s="21" t="n"/>
      <c r="E19" s="22" t="n"/>
      <c r="F19" s="22" t="n"/>
      <c r="G19" s="22" t="n"/>
      <c r="H19" s="23" t="n"/>
    </row>
    <row r="20" ht="20.1" customHeight="1" s="372">
      <c r="A20" s="360" t="n"/>
      <c r="B20" s="20" t="n"/>
      <c r="C20" s="21" t="n"/>
      <c r="D20" s="21" t="n"/>
      <c r="E20" s="22" t="n"/>
      <c r="F20" s="22" t="n"/>
      <c r="G20" s="22" t="n"/>
      <c r="H20" s="23" t="n"/>
    </row>
    <row r="21" ht="20.1" customHeight="1" s="372">
      <c r="A21" s="360" t="n"/>
      <c r="B21" s="20" t="n"/>
      <c r="C21" s="21" t="n"/>
      <c r="D21" s="21" t="n"/>
      <c r="E21" s="22" t="n"/>
      <c r="F21" s="22" t="n"/>
      <c r="G21" s="22" t="n"/>
      <c r="H21" s="23" t="n"/>
    </row>
    <row r="22" ht="20.1" customHeight="1" s="372">
      <c r="A22" s="360" t="n"/>
      <c r="B22" s="20" t="n"/>
      <c r="C22" s="21" t="n"/>
      <c r="D22" s="21" t="n"/>
      <c r="E22" s="22" t="n"/>
      <c r="F22" s="22" t="n"/>
      <c r="G22" s="22" t="n"/>
      <c r="H22" s="23" t="n"/>
    </row>
    <row r="23" ht="33.75" customHeight="1" s="372">
      <c r="A23" s="28" t="inlineStr">
        <is>
          <t>작성요령</t>
        </is>
      </c>
      <c r="B23" s="24" t="inlineStr">
        <is>
          <t>경영검토 입력사항 제목으록 구분 그리고 경영자 지시사항</t>
        </is>
      </c>
      <c r="C23" s="25" t="inlineStr">
        <is>
          <t>경영자가 요구/지시한 사항 요약
경영검토 출력 사항 상세</t>
        </is>
      </c>
      <c r="D23" s="25" t="inlineStr">
        <is>
          <t>경영자 지시사항에 대한 조치내역을 요약하여 기록</t>
        </is>
      </c>
      <c r="E23" s="25" t="inlineStr">
        <is>
          <t>관련 성과지표 혹은 목표</t>
        </is>
      </c>
      <c r="F23" s="25" t="inlineStr">
        <is>
          <t>목표, 성과지표 향상율, 감소율 등의 변화량</t>
        </is>
      </c>
      <c r="G23" s="25" t="inlineStr">
        <is>
          <t>조치 완료일, 기간</t>
        </is>
      </c>
      <c r="H23" s="26" t="inlineStr">
        <is>
          <t>담당부서와 조치를 주관한 담당자</t>
        </is>
      </c>
    </row>
  </sheetData>
  <printOptions horizontalCentered="1"/>
  <pageMargins left="0.25" right="0.25" top="0.75" bottom="0.75" header="0.3" footer="0.3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zoomScaleNormal="100" workbookViewId="0">
      <selection activeCell="G18" sqref="G18"/>
    </sheetView>
  </sheetViews>
  <sheetFormatPr baseColWidth="8" defaultColWidth="9.5" defaultRowHeight="16.15" customHeight="1"/>
  <cols>
    <col width="8.625" customWidth="1" style="361" min="1" max="1"/>
    <col width="20.625" customWidth="1" style="361" min="2" max="2"/>
    <col width="19.5" customWidth="1" style="361" min="3" max="3"/>
    <col width="25.625" customWidth="1" style="361" min="4" max="4"/>
    <col width="13.875" customWidth="1" style="361" min="5" max="5"/>
    <col width="13.375" customWidth="1" style="361" min="6" max="6"/>
    <col width="25.625" customWidth="1" style="361" min="7" max="7"/>
    <col width="5.125" customWidth="1" style="361" min="8" max="225"/>
    <col width="9.5" customWidth="1" style="361" min="226" max="16384"/>
  </cols>
  <sheetData>
    <row r="1" ht="24.95" customHeight="1" s="372">
      <c r="A1" s="12" t="inlineStr">
        <is>
          <t>Part Ⅰ-2. 경영시스템 관련 외부/내부 이슈의 변경사항</t>
        </is>
      </c>
      <c r="B1" s="12" t="n"/>
      <c r="C1" s="12" t="n"/>
      <c r="D1" s="12" t="n"/>
      <c r="E1" s="12" t="n"/>
      <c r="F1" s="12" t="n"/>
      <c r="G1" s="12" t="n"/>
    </row>
    <row r="2" ht="20.1" customHeight="1" s="372"/>
    <row r="3" ht="20.1" customHeight="1" s="372">
      <c r="A3" s="3" t="inlineStr">
        <is>
          <t>구분</t>
        </is>
      </c>
      <c r="B3" s="308" t="inlineStr">
        <is>
          <t>이슈 내역</t>
        </is>
      </c>
      <c r="C3" s="308" t="inlineStr">
        <is>
          <t>분석된 영향</t>
        </is>
      </c>
      <c r="D3" s="308" t="inlineStr">
        <is>
          <t>조치내역</t>
        </is>
      </c>
      <c r="E3" s="308" t="inlineStr">
        <is>
          <t>조치기간</t>
        </is>
      </c>
      <c r="F3" s="308" t="inlineStr">
        <is>
          <t>부서/담당</t>
        </is>
      </c>
      <c r="G3" s="5" t="inlineStr">
        <is>
          <t>변경사항</t>
        </is>
      </c>
    </row>
    <row r="4" ht="20.1" customHeight="1" s="372">
      <c r="A4" s="15" t="n"/>
      <c r="B4" s="16" t="n"/>
      <c r="C4" s="16" t="n"/>
      <c r="D4" s="16" t="n"/>
      <c r="E4" s="16" t="n"/>
      <c r="F4" s="16" t="n"/>
      <c r="G4" s="29" t="n"/>
    </row>
    <row r="5" ht="20.1" customHeight="1" s="372">
      <c r="A5" s="20" t="n"/>
      <c r="B5" s="21" t="n"/>
      <c r="C5" s="21" t="n"/>
      <c r="D5" s="21" t="n"/>
      <c r="E5" s="21" t="n"/>
      <c r="F5" s="21" t="n"/>
      <c r="G5" s="30" t="n"/>
    </row>
    <row r="6" ht="20.1" customHeight="1" s="372">
      <c r="A6" s="20" t="n"/>
      <c r="B6" s="21" t="n"/>
      <c r="C6" s="21" t="n"/>
      <c r="D6" s="21" t="n"/>
      <c r="E6" s="21" t="n"/>
      <c r="F6" s="21" t="n"/>
      <c r="G6" s="30" t="n"/>
    </row>
    <row r="7" ht="20.1" customHeight="1" s="372">
      <c r="A7" s="20" t="n"/>
      <c r="B7" s="21" t="n"/>
      <c r="C7" s="21" t="n"/>
      <c r="D7" s="21" t="n"/>
      <c r="E7" s="21" t="n"/>
      <c r="F7" s="21" t="n"/>
      <c r="G7" s="30" t="n"/>
    </row>
    <row r="8" ht="20.1" customHeight="1" s="372">
      <c r="A8" s="20" t="n"/>
      <c r="B8" s="21" t="n"/>
      <c r="C8" s="21" t="n"/>
      <c r="D8" s="21" t="n"/>
      <c r="E8" s="21" t="n"/>
      <c r="F8" s="21" t="n"/>
      <c r="G8" s="30" t="n"/>
    </row>
    <row r="9" ht="20.1" customHeight="1" s="372">
      <c r="A9" s="20" t="n"/>
      <c r="B9" s="21" t="n"/>
      <c r="C9" s="21" t="n"/>
      <c r="D9" s="21" t="n"/>
      <c r="E9" s="21" t="n"/>
      <c r="F9" s="21" t="n"/>
      <c r="G9" s="30" t="n"/>
    </row>
    <row r="10" ht="20.1" customHeight="1" s="372">
      <c r="A10" s="20" t="n"/>
      <c r="B10" s="21" t="n"/>
      <c r="C10" s="21" t="n"/>
      <c r="D10" s="21" t="n"/>
      <c r="E10" s="21" t="n"/>
      <c r="F10" s="21" t="n"/>
      <c r="G10" s="30" t="n"/>
    </row>
    <row r="11" ht="20.1" customHeight="1" s="372">
      <c r="A11" s="20" t="n"/>
      <c r="B11" s="21" t="n"/>
      <c r="C11" s="21" t="n"/>
      <c r="D11" s="21" t="n"/>
      <c r="E11" s="21" t="n"/>
      <c r="F11" s="21" t="n"/>
      <c r="G11" s="30" t="n"/>
    </row>
    <row r="12" ht="20.1" customHeight="1" s="372">
      <c r="A12" s="20" t="n"/>
      <c r="B12" s="21" t="n"/>
      <c r="C12" s="21" t="n"/>
      <c r="D12" s="21" t="n"/>
      <c r="E12" s="21" t="n"/>
      <c r="F12" s="21" t="n"/>
      <c r="G12" s="30" t="n"/>
    </row>
    <row r="13" ht="20.1" customHeight="1" s="372">
      <c r="A13" s="20" t="n"/>
      <c r="B13" s="21" t="n"/>
      <c r="C13" s="21" t="n"/>
      <c r="D13" s="21" t="n"/>
      <c r="E13" s="21" t="n"/>
      <c r="F13" s="21" t="n"/>
      <c r="G13" s="30" t="n"/>
    </row>
    <row r="14" ht="20.1" customHeight="1" s="372">
      <c r="A14" s="20" t="n"/>
      <c r="B14" s="21" t="n"/>
      <c r="C14" s="21" t="n"/>
      <c r="D14" s="21" t="n"/>
      <c r="E14" s="21" t="n"/>
      <c r="F14" s="21" t="n"/>
      <c r="G14" s="30" t="n"/>
    </row>
    <row r="15" ht="20.1" customHeight="1" s="372">
      <c r="A15" s="20" t="n"/>
      <c r="B15" s="21" t="n"/>
      <c r="C15" s="21" t="n"/>
      <c r="D15" s="21" t="n"/>
      <c r="E15" s="21" t="n"/>
      <c r="F15" s="21" t="n"/>
      <c r="G15" s="30" t="n"/>
    </row>
    <row r="16" ht="20.1" customHeight="1" s="372">
      <c r="A16" s="20" t="n"/>
      <c r="B16" s="21" t="n"/>
      <c r="C16" s="21" t="n"/>
      <c r="D16" s="21" t="n"/>
      <c r="E16" s="21" t="n"/>
      <c r="F16" s="21" t="n"/>
      <c r="G16" s="30" t="n"/>
    </row>
    <row r="17" ht="20.1" customHeight="1" s="372">
      <c r="A17" s="20" t="n"/>
      <c r="B17" s="21" t="n"/>
      <c r="C17" s="21" t="n"/>
      <c r="D17" s="21" t="n"/>
      <c r="E17" s="21" t="n"/>
      <c r="F17" s="21" t="n"/>
      <c r="G17" s="30" t="n"/>
    </row>
    <row r="18" ht="20.1" customHeight="1" s="372">
      <c r="A18" s="20" t="n"/>
      <c r="B18" s="21" t="n"/>
      <c r="C18" s="21" t="n"/>
      <c r="D18" s="21" t="n"/>
      <c r="E18" s="21" t="n"/>
      <c r="F18" s="21" t="n"/>
      <c r="G18" s="30" t="n"/>
    </row>
    <row r="19" ht="20.1" customHeight="1" s="372">
      <c r="A19" s="20" t="n"/>
      <c r="B19" s="21" t="n"/>
      <c r="C19" s="21" t="n"/>
      <c r="D19" s="21" t="n"/>
      <c r="E19" s="21" t="n"/>
      <c r="F19" s="21" t="n"/>
      <c r="G19" s="30" t="n"/>
    </row>
    <row r="20" ht="20.1" customHeight="1" s="372">
      <c r="A20" s="20" t="n"/>
      <c r="B20" s="21" t="n"/>
      <c r="C20" s="21" t="n"/>
      <c r="D20" s="21" t="n"/>
      <c r="E20" s="21" t="n"/>
      <c r="F20" s="21" t="n"/>
      <c r="G20" s="30" t="n"/>
    </row>
    <row r="21" ht="20.1" customHeight="1" s="372">
      <c r="A21" s="20" t="n"/>
      <c r="B21" s="21" t="n"/>
      <c r="C21" s="21" t="n"/>
      <c r="D21" s="21" t="n"/>
      <c r="E21" s="21" t="n"/>
      <c r="F21" s="21" t="n"/>
      <c r="G21" s="30" t="n"/>
    </row>
    <row r="22" ht="20.1" customHeight="1" s="372">
      <c r="A22" s="20" t="n"/>
      <c r="B22" s="21" t="n"/>
      <c r="C22" s="21" t="n"/>
      <c r="D22" s="21" t="n"/>
      <c r="E22" s="21" t="n"/>
      <c r="F22" s="21" t="n"/>
      <c r="G22" s="30" t="n"/>
    </row>
    <row r="23" ht="33.75" customHeight="1" s="372">
      <c r="A23" s="31" t="inlineStr">
        <is>
          <t>QMS, EMS, 외부, 내부이슈</t>
        </is>
      </c>
      <c r="B23" s="32" t="inlineStr">
        <is>
          <t>이슈의 내역을 기록</t>
        </is>
      </c>
      <c r="C23" s="32" t="inlineStr">
        <is>
          <t>이슈가 사내에 미치는 영향을 기록</t>
        </is>
      </c>
      <c r="D23" s="32" t="inlineStr">
        <is>
          <t>이슈에 대한 관리/조치사항을 요약하여 기록</t>
        </is>
      </c>
      <c r="E23" s="32" t="inlineStr">
        <is>
          <t>조치기간</t>
        </is>
      </c>
      <c r="F23" s="32" t="inlineStr">
        <is>
          <t>해당 이슈 담당자</t>
        </is>
      </c>
      <c r="G23" s="33" t="inlineStr">
        <is>
          <t>이슈로 인한 변경사항 및 후속조치 기록 - 제품개선, 업무표준의 변경, 별도의 리스크로 관리, 작업방법 변경 등으로 기록</t>
        </is>
      </c>
    </row>
  </sheetData>
  <printOptions horizontalCentered="1"/>
  <pageMargins left="0.25" right="0.25" top="0.75" bottom="0.75" header="0.3" footer="0.3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0" zoomScaleNormal="100" workbookViewId="0">
      <selection activeCell="G20" sqref="G20"/>
    </sheetView>
  </sheetViews>
  <sheetFormatPr baseColWidth="8" defaultColWidth="5.125" defaultRowHeight="16.15" customHeight="1"/>
  <cols>
    <col width="5.125" customWidth="1" style="361" min="1" max="1"/>
    <col width="15.625" customWidth="1" style="361" min="2" max="3"/>
    <col width="22.875" customWidth="1" style="361" min="4" max="4"/>
    <col width="12.625" customWidth="1" style="361" min="5" max="7"/>
    <col width="10.625" customWidth="1" style="361" min="8" max="8"/>
    <col width="18.875" customWidth="1" style="361" min="9" max="9"/>
    <col width="5.125" customWidth="1" style="361" min="10" max="16384"/>
  </cols>
  <sheetData>
    <row r="1" ht="24.95" customHeight="1" s="372">
      <c r="A1" s="12" t="inlineStr">
        <is>
          <t>Part Ⅰ-3. 고객만족도 및 이해관계자 피드백</t>
        </is>
      </c>
    </row>
    <row r="2" ht="20.1" customHeight="1" s="372"/>
    <row r="3" ht="20.1" customHeight="1" s="372">
      <c r="A3" s="3" t="inlineStr">
        <is>
          <t>N0</t>
        </is>
      </c>
      <c r="B3" s="308" t="inlineStr">
        <is>
          <t>고객명</t>
        </is>
      </c>
      <c r="C3" s="308" t="inlineStr">
        <is>
          <t>거래품목</t>
        </is>
      </c>
      <c r="D3" s="308" t="inlineStr">
        <is>
          <t>주요 피드백</t>
        </is>
      </c>
      <c r="E3" s="308" t="inlineStr">
        <is>
          <t>피드백 일자</t>
        </is>
      </c>
      <c r="F3" s="308" t="inlineStr">
        <is>
          <t>고객만족도 수준</t>
        </is>
      </c>
      <c r="G3" s="308" t="inlineStr">
        <is>
          <t>병가방법</t>
        </is>
      </c>
      <c r="H3" s="308" t="inlineStr">
        <is>
          <t>기간</t>
        </is>
      </c>
      <c r="I3" s="5" t="inlineStr">
        <is>
          <t>조치내역</t>
        </is>
      </c>
    </row>
    <row r="4" ht="20.1" customHeight="1" s="372">
      <c r="A4" s="20" t="n"/>
      <c r="B4" s="21" t="n"/>
      <c r="C4" s="21" t="n"/>
      <c r="D4" s="21" t="n"/>
      <c r="E4" s="21" t="n"/>
      <c r="F4" s="21" t="n"/>
      <c r="G4" s="21" t="n"/>
      <c r="H4" s="21" t="n"/>
      <c r="I4" s="30" t="n"/>
    </row>
    <row r="5" ht="20.1" customHeight="1" s="372">
      <c r="A5" s="20" t="n"/>
      <c r="B5" s="21" t="n"/>
      <c r="C5" s="21" t="n"/>
      <c r="D5" s="21" t="n"/>
      <c r="E5" s="21" t="n"/>
      <c r="F5" s="21" t="n"/>
      <c r="G5" s="21" t="n"/>
      <c r="H5" s="21" t="n"/>
      <c r="I5" s="30" t="n"/>
    </row>
    <row r="6" ht="20.1" customHeight="1" s="372">
      <c r="A6" s="20" t="n"/>
      <c r="B6" s="21" t="n"/>
      <c r="C6" s="21" t="n"/>
      <c r="D6" s="21" t="n"/>
      <c r="E6" s="21" t="n"/>
      <c r="F6" s="21" t="n"/>
      <c r="G6" s="21" t="n"/>
      <c r="H6" s="21" t="n"/>
      <c r="I6" s="30" t="n"/>
    </row>
    <row r="7" ht="20.1" customHeight="1" s="372">
      <c r="A7" s="20" t="n"/>
      <c r="B7" s="21" t="n"/>
      <c r="C7" s="21" t="n"/>
      <c r="D7" s="21" t="n"/>
      <c r="E7" s="21" t="n"/>
      <c r="F7" s="21" t="n"/>
      <c r="G7" s="21" t="n"/>
      <c r="H7" s="21" t="n"/>
      <c r="I7" s="30" t="n"/>
    </row>
    <row r="8" ht="20.1" customHeight="1" s="372">
      <c r="A8" s="20" t="n"/>
      <c r="B8" s="21" t="n"/>
      <c r="C8" s="21" t="n"/>
      <c r="D8" s="21" t="n"/>
      <c r="E8" s="21" t="n"/>
      <c r="F8" s="21" t="n"/>
      <c r="G8" s="21" t="n"/>
      <c r="H8" s="21" t="n"/>
      <c r="I8" s="30" t="n"/>
    </row>
    <row r="9" ht="20.1" customHeight="1" s="372">
      <c r="A9" s="20" t="n"/>
      <c r="B9" s="21" t="n"/>
      <c r="C9" s="21" t="n"/>
      <c r="D9" s="21" t="n"/>
      <c r="E9" s="21" t="n"/>
      <c r="F9" s="21" t="n"/>
      <c r="G9" s="21" t="n"/>
      <c r="H9" s="21" t="n"/>
      <c r="I9" s="30" t="n"/>
    </row>
    <row r="10" ht="20.1" customHeight="1" s="372">
      <c r="A10" s="20" t="n"/>
      <c r="B10" s="21" t="n"/>
      <c r="C10" s="21" t="n"/>
      <c r="D10" s="21" t="n"/>
      <c r="E10" s="21" t="n"/>
      <c r="F10" s="21" t="n"/>
      <c r="G10" s="21" t="n"/>
      <c r="H10" s="21" t="n"/>
      <c r="I10" s="30" t="n"/>
    </row>
    <row r="11" ht="20.1" customHeight="1" s="372">
      <c r="A11" s="20" t="n"/>
      <c r="B11" s="21" t="n"/>
      <c r="C11" s="21" t="n"/>
      <c r="D11" s="21" t="n"/>
      <c r="E11" s="21" t="n"/>
      <c r="F11" s="21" t="n"/>
      <c r="G11" s="21" t="n"/>
      <c r="H11" s="21" t="n"/>
      <c r="I11" s="30" t="n"/>
    </row>
    <row r="12" ht="20.1" customHeight="1" s="372">
      <c r="A12" s="20" t="n"/>
      <c r="B12" s="21" t="n"/>
      <c r="C12" s="21" t="n"/>
      <c r="D12" s="21" t="n"/>
      <c r="E12" s="21" t="n"/>
      <c r="F12" s="21" t="n"/>
      <c r="G12" s="21" t="n"/>
      <c r="H12" s="21" t="n"/>
      <c r="I12" s="30" t="n"/>
    </row>
    <row r="13" ht="20.1" customHeight="1" s="372">
      <c r="A13" s="20" t="n"/>
      <c r="B13" s="21" t="n"/>
      <c r="C13" s="21" t="n"/>
      <c r="D13" s="21" t="n"/>
      <c r="E13" s="21" t="n"/>
      <c r="F13" s="21" t="n"/>
      <c r="G13" s="21" t="n"/>
      <c r="H13" s="21" t="n"/>
      <c r="I13" s="30" t="n"/>
    </row>
    <row r="14" ht="20.1" customHeight="1" s="372">
      <c r="A14" s="20" t="n"/>
      <c r="B14" s="21" t="n"/>
      <c r="C14" s="21" t="n"/>
      <c r="D14" s="21" t="n"/>
      <c r="E14" s="21" t="n"/>
      <c r="F14" s="21" t="n"/>
      <c r="G14" s="21" t="n"/>
      <c r="H14" s="21" t="n"/>
      <c r="I14" s="30" t="n"/>
    </row>
    <row r="15" ht="20.1" customHeight="1" s="372">
      <c r="A15" s="20" t="n"/>
      <c r="B15" s="21" t="n"/>
      <c r="C15" s="21" t="n"/>
      <c r="D15" s="21" t="n"/>
      <c r="E15" s="21" t="n"/>
      <c r="F15" s="21" t="n"/>
      <c r="G15" s="21" t="n"/>
      <c r="H15" s="21" t="n"/>
      <c r="I15" s="30" t="n"/>
    </row>
    <row r="16" ht="20.1" customHeight="1" s="372">
      <c r="A16" s="20" t="n"/>
      <c r="B16" s="21" t="n"/>
      <c r="C16" s="21" t="n"/>
      <c r="D16" s="21" t="n"/>
      <c r="E16" s="21" t="n"/>
      <c r="F16" s="21" t="n"/>
      <c r="G16" s="21" t="n"/>
      <c r="H16" s="21" t="n"/>
      <c r="I16" s="30" t="n"/>
    </row>
    <row r="17" ht="20.1" customHeight="1" s="372">
      <c r="A17" s="20" t="n"/>
      <c r="B17" s="21" t="n"/>
      <c r="C17" s="21" t="n"/>
      <c r="D17" s="21" t="n"/>
      <c r="E17" s="21" t="n"/>
      <c r="F17" s="21" t="n"/>
      <c r="G17" s="21" t="n"/>
      <c r="H17" s="21" t="n"/>
      <c r="I17" s="30" t="n"/>
    </row>
    <row r="18" ht="20.1" customHeight="1" s="372">
      <c r="A18" s="20" t="n"/>
      <c r="B18" s="21" t="n"/>
      <c r="C18" s="21" t="n"/>
      <c r="D18" s="21" t="n"/>
      <c r="E18" s="21" t="n"/>
      <c r="F18" s="21" t="n"/>
      <c r="G18" s="21" t="n"/>
      <c r="H18" s="21" t="n"/>
      <c r="I18" s="30" t="n"/>
    </row>
    <row r="19" ht="20.1" customHeight="1" s="372">
      <c r="A19" s="20" t="n"/>
      <c r="B19" s="21" t="n"/>
      <c r="C19" s="21" t="n"/>
      <c r="D19" s="21" t="n"/>
      <c r="E19" s="21" t="n"/>
      <c r="F19" s="21" t="n"/>
      <c r="G19" s="21" t="n"/>
      <c r="H19" s="21" t="n"/>
      <c r="I19" s="30" t="n"/>
    </row>
    <row r="20" ht="20.1" customHeight="1" s="372">
      <c r="A20" s="20" t="n"/>
      <c r="B20" s="21" t="n"/>
      <c r="C20" s="21" t="n"/>
      <c r="D20" s="21" t="n"/>
      <c r="E20" s="21" t="n"/>
      <c r="F20" s="21" t="n"/>
      <c r="G20" s="21" t="n"/>
      <c r="H20" s="21" t="n"/>
      <c r="I20" s="30" t="n"/>
    </row>
    <row r="21" ht="20.1" customHeight="1" s="372">
      <c r="A21" s="20" t="n"/>
      <c r="B21" s="21" t="n"/>
      <c r="C21" s="21" t="n"/>
      <c r="D21" s="21" t="n"/>
      <c r="E21" s="21" t="n"/>
      <c r="F21" s="21" t="n"/>
      <c r="G21" s="21" t="n"/>
      <c r="H21" s="21" t="n"/>
      <c r="I21" s="30" t="n"/>
    </row>
    <row r="22" ht="20.1" customHeight="1" s="372">
      <c r="A22" s="20" t="n"/>
      <c r="B22" s="21" t="n"/>
      <c r="C22" s="21" t="n"/>
      <c r="D22" s="21" t="n"/>
      <c r="E22" s="21" t="n"/>
      <c r="F22" s="21" t="n"/>
      <c r="G22" s="21" t="n"/>
      <c r="H22" s="21" t="n"/>
      <c r="I22" s="30" t="n"/>
    </row>
    <row r="23" ht="28.5" customHeight="1" s="372">
      <c r="A23" s="86" t="inlineStr">
        <is>
          <t>순서</t>
        </is>
      </c>
      <c r="B23" s="87" t="inlineStr">
        <is>
          <t>고객명</t>
        </is>
      </c>
      <c r="C23" s="87" t="inlineStr">
        <is>
          <t>거래품목</t>
        </is>
      </c>
      <c r="D23" s="87" t="inlineStr">
        <is>
          <t>정기 고객만족도 평가, 고객 불만, 요구사항, 이슈</t>
        </is>
      </c>
      <c r="E23" s="87" t="inlineStr">
        <is>
          <t>불만, 이슈 접수일</t>
        </is>
      </c>
      <c r="F23" s="87" t="inlineStr">
        <is>
          <t>고객만족도 점수</t>
        </is>
      </c>
      <c r="G23" s="87" t="inlineStr">
        <is>
          <t>점수산출방식</t>
        </is>
      </c>
      <c r="H23" s="87" t="inlineStr">
        <is>
          <t>만족도 수준 접수기간</t>
        </is>
      </c>
      <c r="I23" s="88" t="inlineStr">
        <is>
          <t>불만, 이슈, 만족도 등에 관한 조치</t>
        </is>
      </c>
    </row>
  </sheetData>
  <printOptions horizontalCentered="1"/>
  <pageMargins left="0.25" right="0.25" top="0.75" bottom="0.75" header="0.3" footer="0.3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0" zoomScaleNormal="100" workbookViewId="0">
      <selection activeCell="G22" sqref="G22"/>
    </sheetView>
  </sheetViews>
  <sheetFormatPr baseColWidth="8" defaultColWidth="6.75" defaultRowHeight="16.15" customHeight="1"/>
  <cols>
    <col width="5.625" customWidth="1" style="361" min="1" max="1"/>
    <col width="21.75" customWidth="1" style="361" min="2" max="2"/>
    <col width="10.625" customWidth="1" style="361" min="3" max="4"/>
    <col width="25.125" customWidth="1" style="361" min="5" max="5"/>
    <col width="14.125" customWidth="1" style="361" min="6" max="6"/>
    <col width="13.375" customWidth="1" style="361" min="7" max="7"/>
    <col width="10.625" customWidth="1" style="361" min="8" max="8"/>
    <col width="15.625" customWidth="1" style="361" min="9" max="9"/>
    <col width="6.75" customWidth="1" style="361" min="10" max="16384"/>
  </cols>
  <sheetData>
    <row r="1" ht="24.95" customHeight="1" s="372">
      <c r="A1" s="12" t="inlineStr">
        <is>
          <t>Part Ⅰ-4. 품질목표 관리현황</t>
        </is>
      </c>
      <c r="I1" s="258" t="n"/>
    </row>
    <row r="2" ht="20.1" customHeight="1" s="372"/>
    <row r="3" ht="20.1" customHeight="1" s="372">
      <c r="A3" s="3" t="inlineStr">
        <is>
          <t>No.</t>
        </is>
      </c>
      <c r="B3" s="308" t="inlineStr">
        <is>
          <t>제품, 공정명</t>
        </is>
      </c>
      <c r="C3" s="308" t="inlineStr">
        <is>
          <t>품질특성</t>
        </is>
      </c>
      <c r="D3" s="308" t="inlineStr">
        <is>
          <t>품질목표</t>
        </is>
      </c>
      <c r="E3" s="308" t="inlineStr">
        <is>
          <t>개선 등 핵심조치사항</t>
        </is>
      </c>
      <c r="F3" s="308" t="inlineStr">
        <is>
          <t>품질성과</t>
        </is>
      </c>
      <c r="G3" s="308" t="inlineStr">
        <is>
          <t>부서/담당</t>
        </is>
      </c>
      <c r="H3" s="308" t="inlineStr">
        <is>
          <t>일정</t>
        </is>
      </c>
      <c r="I3" s="5" t="inlineStr">
        <is>
          <t>후속조치</t>
        </is>
      </c>
    </row>
    <row r="4" ht="20.1" customHeight="1" s="372">
      <c r="A4" s="345" t="n"/>
      <c r="B4" s="304" t="n"/>
      <c r="C4" s="17" t="n"/>
      <c r="D4" s="17" t="n"/>
      <c r="E4" s="304" t="n"/>
      <c r="F4" s="17" t="n"/>
      <c r="G4" s="17" t="n"/>
      <c r="H4" s="17" t="n"/>
      <c r="I4" s="36" t="n"/>
    </row>
    <row r="5" ht="20.1" customHeight="1" s="372">
      <c r="A5" s="37" t="n"/>
      <c r="B5" s="302" t="n"/>
      <c r="C5" s="22" t="n"/>
      <c r="D5" s="22" t="n"/>
      <c r="E5" s="302" t="n"/>
      <c r="F5" s="22" t="n"/>
      <c r="G5" s="22" t="n"/>
      <c r="H5" s="22" t="n"/>
      <c r="I5" s="39" t="n"/>
    </row>
    <row r="6" ht="20.1" customHeight="1" s="372">
      <c r="A6" s="37" t="n"/>
      <c r="B6" s="302" t="n"/>
      <c r="C6" s="22" t="n"/>
      <c r="D6" s="22" t="n"/>
      <c r="E6" s="302" t="n"/>
      <c r="F6" s="22" t="n"/>
      <c r="G6" s="22" t="n"/>
      <c r="H6" s="22" t="n"/>
      <c r="I6" s="39" t="n"/>
    </row>
    <row r="7" ht="20.1" customHeight="1" s="372">
      <c r="A7" s="37" t="n"/>
      <c r="B7" s="302" t="n"/>
      <c r="C7" s="22" t="n"/>
      <c r="D7" s="22" t="n"/>
      <c r="E7" s="302" t="n"/>
      <c r="F7" s="22" t="n"/>
      <c r="G7" s="22" t="n"/>
      <c r="H7" s="22" t="n"/>
      <c r="I7" s="39" t="n"/>
    </row>
    <row r="8" ht="20.1" customHeight="1" s="372">
      <c r="A8" s="37" t="n"/>
      <c r="B8" s="302" t="n"/>
      <c r="C8" s="22" t="n"/>
      <c r="D8" s="22" t="n"/>
      <c r="E8" s="302" t="n"/>
      <c r="F8" s="22" t="n"/>
      <c r="G8" s="22" t="n"/>
      <c r="H8" s="22" t="n"/>
      <c r="I8" s="39" t="n"/>
    </row>
    <row r="9" ht="20.1" customHeight="1" s="372">
      <c r="A9" s="37" t="n"/>
      <c r="B9" s="302" t="n"/>
      <c r="C9" s="22" t="n"/>
      <c r="D9" s="22" t="n"/>
      <c r="E9" s="302" t="n"/>
      <c r="F9" s="22" t="n"/>
      <c r="G9" s="22" t="n"/>
      <c r="H9" s="22" t="n"/>
      <c r="I9" s="39" t="n"/>
    </row>
    <row r="10" ht="20.1" customHeight="1" s="372">
      <c r="A10" s="37" t="n"/>
      <c r="B10" s="302" t="n"/>
      <c r="C10" s="22" t="n"/>
      <c r="D10" s="22" t="n"/>
      <c r="E10" s="302" t="n"/>
      <c r="F10" s="22" t="n"/>
      <c r="G10" s="22" t="n"/>
      <c r="H10" s="22" t="n"/>
      <c r="I10" s="39" t="n"/>
    </row>
    <row r="11" ht="20.1" customHeight="1" s="372">
      <c r="A11" s="37" t="n"/>
      <c r="B11" s="302" t="n"/>
      <c r="C11" s="22" t="n"/>
      <c r="D11" s="22" t="n"/>
      <c r="E11" s="302" t="n"/>
      <c r="F11" s="22" t="n"/>
      <c r="G11" s="22" t="n"/>
      <c r="H11" s="22" t="n"/>
      <c r="I11" s="39" t="n"/>
    </row>
    <row r="12" ht="20.1" customHeight="1" s="372">
      <c r="A12" s="37" t="n"/>
      <c r="B12" s="302" t="n"/>
      <c r="C12" s="22" t="n"/>
      <c r="D12" s="22" t="n"/>
      <c r="E12" s="302" t="n"/>
      <c r="F12" s="22" t="n"/>
      <c r="G12" s="22" t="n"/>
      <c r="H12" s="22" t="n"/>
      <c r="I12" s="39" t="n"/>
    </row>
    <row r="13" ht="20.1" customHeight="1" s="372">
      <c r="A13" s="37" t="n"/>
      <c r="B13" s="302" t="n"/>
      <c r="C13" s="22" t="n"/>
      <c r="D13" s="22" t="n"/>
      <c r="E13" s="302" t="n"/>
      <c r="F13" s="22" t="n"/>
      <c r="G13" s="22" t="n"/>
      <c r="H13" s="22" t="n"/>
      <c r="I13" s="39" t="n"/>
    </row>
    <row r="14" ht="20.1" customHeight="1" s="372">
      <c r="A14" s="37" t="n"/>
      <c r="B14" s="302" t="n"/>
      <c r="C14" s="22" t="n"/>
      <c r="D14" s="22" t="n"/>
      <c r="E14" s="302" t="n"/>
      <c r="F14" s="22" t="n"/>
      <c r="G14" s="22" t="n"/>
      <c r="H14" s="22" t="n"/>
      <c r="I14" s="39" t="n"/>
    </row>
    <row r="15" ht="20.1" customHeight="1" s="372">
      <c r="A15" s="37" t="n"/>
      <c r="B15" s="302" t="n"/>
      <c r="C15" s="22" t="n"/>
      <c r="D15" s="22" t="n"/>
      <c r="E15" s="302" t="n"/>
      <c r="F15" s="22" t="n"/>
      <c r="G15" s="22" t="n"/>
      <c r="H15" s="22" t="n"/>
      <c r="I15" s="39" t="n"/>
    </row>
    <row r="16" ht="20.1" customHeight="1" s="372">
      <c r="A16" s="37" t="n"/>
      <c r="B16" s="302" t="n"/>
      <c r="C16" s="22" t="n"/>
      <c r="D16" s="22" t="n"/>
      <c r="E16" s="302" t="n"/>
      <c r="F16" s="22" t="n"/>
      <c r="G16" s="22" t="n"/>
      <c r="H16" s="22" t="n"/>
      <c r="I16" s="39" t="n"/>
    </row>
    <row r="17" ht="20.1" customHeight="1" s="372">
      <c r="A17" s="37" t="n"/>
      <c r="B17" s="302" t="n"/>
      <c r="C17" s="22" t="n"/>
      <c r="D17" s="22" t="n"/>
      <c r="E17" s="302" t="n"/>
      <c r="F17" s="22" t="n"/>
      <c r="G17" s="22" t="n"/>
      <c r="H17" s="22" t="n"/>
      <c r="I17" s="39" t="n"/>
    </row>
    <row r="18" ht="20.1" customHeight="1" s="372">
      <c r="A18" s="37" t="n"/>
      <c r="B18" s="302" t="n"/>
      <c r="C18" s="22" t="n"/>
      <c r="D18" s="22" t="n"/>
      <c r="E18" s="302" t="n"/>
      <c r="F18" s="22" t="n"/>
      <c r="G18" s="22" t="n"/>
      <c r="H18" s="22" t="n"/>
      <c r="I18" s="39" t="n"/>
    </row>
    <row r="19" ht="20.1" customHeight="1" s="372">
      <c r="A19" s="37" t="n"/>
      <c r="B19" s="302" t="n"/>
      <c r="C19" s="22" t="n"/>
      <c r="D19" s="22" t="n"/>
      <c r="E19" s="302" t="n"/>
      <c r="F19" s="22" t="n"/>
      <c r="G19" s="22" t="n"/>
      <c r="H19" s="22" t="n"/>
      <c r="I19" s="39" t="n"/>
    </row>
    <row r="20" ht="20.1" customHeight="1" s="372">
      <c r="A20" s="37" t="n"/>
      <c r="B20" s="302" t="n"/>
      <c r="C20" s="22" t="n"/>
      <c r="D20" s="22" t="n"/>
      <c r="E20" s="302" t="n"/>
      <c r="F20" s="22" t="n"/>
      <c r="G20" s="22" t="n"/>
      <c r="H20" s="22" t="n"/>
      <c r="I20" s="39" t="n"/>
    </row>
    <row r="21" ht="20.1" customHeight="1" s="372">
      <c r="A21" s="37" t="n"/>
      <c r="B21" s="302" t="n"/>
      <c r="C21" s="22" t="n"/>
      <c r="D21" s="22" t="n"/>
      <c r="E21" s="302" t="n"/>
      <c r="F21" s="22" t="n"/>
      <c r="G21" s="22" t="n"/>
      <c r="H21" s="22" t="n"/>
      <c r="I21" s="39" t="n"/>
    </row>
    <row r="22" ht="47.85" customHeight="1" s="372">
      <c r="A22" s="40" t="n"/>
      <c r="B22" s="41" t="inlineStr">
        <is>
          <t>수입/공정/제품 검사 등의 공정명 혹은 고객불량율, 필드불량율과 같은 지표, 특정 제품으로 표기 가능</t>
        </is>
      </c>
      <c r="C22" s="41" t="inlineStr">
        <is>
          <t>공정-불량율, 제품-관리대상 품질특성</t>
        </is>
      </c>
      <c r="D22" s="41" t="inlineStr">
        <is>
          <t>공정-불량율 목표, 제품 spec.관리목표 기록</t>
        </is>
      </c>
      <c r="E22" s="41" t="inlineStr">
        <is>
          <t>목표 달성을 위해 취한 조치 내역</t>
        </is>
      </c>
      <c r="F22" s="41" t="inlineStr">
        <is>
          <t>관리 성과(불량율, spec.의 개선 성과)</t>
        </is>
      </c>
      <c r="G22" s="41" t="inlineStr">
        <is>
          <t>주관.담당 부서/담당자</t>
        </is>
      </c>
      <c r="H22" s="41" t="inlineStr">
        <is>
          <t>소요 일정(진행 중일 경우 계획일정-계획임을 표시)</t>
        </is>
      </c>
      <c r="I22" s="89" t="inlineStr">
        <is>
          <t>표준화, 제품개발, 공정개선, 설비 개선 등의 후속조치</t>
        </is>
      </c>
    </row>
  </sheetData>
  <printOptions horizontalCentered="1"/>
  <pageMargins left="0.25" right="0.25" top="0.75" bottom="0.75" header="0.3" footer="0.3"/>
  <pageSetup orientation="landscape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zoomScaleNormal="100" zoomScaleSheetLayoutView="40" workbookViewId="0">
      <selection activeCell="E18" sqref="E18"/>
    </sheetView>
  </sheetViews>
  <sheetFormatPr baseColWidth="8" defaultColWidth="8.375" defaultRowHeight="20.1" customHeight="1"/>
  <cols>
    <col width="12.625" customWidth="1" style="44" min="1" max="2"/>
    <col width="15.625" customWidth="1" style="44" min="3" max="7"/>
    <col width="22.625" customWidth="1" style="44" min="8" max="8"/>
    <col width="8.375" customWidth="1" style="44" min="9" max="229"/>
    <col width="10.125" customWidth="1" style="44" min="230" max="230"/>
    <col width="11" customWidth="1" style="44" min="231" max="231"/>
    <col width="7.875" customWidth="1" style="44" min="232" max="232"/>
    <col width="9.25" customWidth="1" style="44" min="233" max="233"/>
    <col width="0.125" customWidth="1" style="44" min="234" max="234"/>
    <col width="9.75" customWidth="1" style="44" min="235" max="247"/>
    <col width="8.375" customWidth="1" style="44" min="248" max="248"/>
    <col width="4.625" customWidth="1" style="44" min="249" max="249"/>
    <col width="10.25" customWidth="1" style="44" min="250" max="252"/>
    <col width="8.375" customWidth="1" style="44" min="253" max="485"/>
    <col width="10.125" customWidth="1" style="44" min="486" max="486"/>
    <col width="11" customWidth="1" style="44" min="487" max="487"/>
    <col width="7.875" customWidth="1" style="44" min="488" max="488"/>
    <col width="9.25" customWidth="1" style="44" min="489" max="489"/>
    <col width="0.125" customWidth="1" style="44" min="490" max="490"/>
    <col width="9.75" customWidth="1" style="44" min="491" max="503"/>
    <col width="8.375" customWidth="1" style="44" min="504" max="504"/>
    <col width="4.625" customWidth="1" style="44" min="505" max="505"/>
    <col width="10.25" customWidth="1" style="44" min="506" max="508"/>
    <col width="8.375" customWidth="1" style="44" min="509" max="741"/>
    <col width="10.125" customWidth="1" style="44" min="742" max="742"/>
    <col width="11" customWidth="1" style="44" min="743" max="743"/>
    <col width="7.875" customWidth="1" style="44" min="744" max="744"/>
    <col width="9.25" customWidth="1" style="44" min="745" max="745"/>
    <col width="0.125" customWidth="1" style="44" min="746" max="746"/>
    <col width="9.75" customWidth="1" style="44" min="747" max="759"/>
    <col width="8.375" customWidth="1" style="44" min="760" max="760"/>
    <col width="4.625" customWidth="1" style="44" min="761" max="761"/>
    <col width="10.25" customWidth="1" style="44" min="762" max="764"/>
    <col width="8.375" customWidth="1" style="44" min="765" max="997"/>
    <col width="10.125" customWidth="1" style="44" min="998" max="998"/>
    <col width="11" customWidth="1" style="44" min="999" max="999"/>
    <col width="7.875" customWidth="1" style="44" min="1000" max="1000"/>
    <col width="9.25" customWidth="1" style="44" min="1001" max="1001"/>
    <col width="0.125" customWidth="1" style="44" min="1002" max="1002"/>
    <col width="9.75" customWidth="1" style="44" min="1003" max="1015"/>
    <col width="8.375" customWidth="1" style="44" min="1016" max="1016"/>
    <col width="4.625" customWidth="1" style="44" min="1017" max="1017"/>
    <col width="10.25" customWidth="1" style="44" min="1018" max="1020"/>
    <col width="8.375" customWidth="1" style="44" min="1021" max="1253"/>
    <col width="10.125" customWidth="1" style="44" min="1254" max="1254"/>
    <col width="11" customWidth="1" style="44" min="1255" max="1255"/>
    <col width="7.875" customWidth="1" style="44" min="1256" max="1256"/>
    <col width="9.25" customWidth="1" style="44" min="1257" max="1257"/>
    <col width="0.125" customWidth="1" style="44" min="1258" max="1258"/>
    <col width="9.75" customWidth="1" style="44" min="1259" max="1271"/>
    <col width="8.375" customWidth="1" style="44" min="1272" max="1272"/>
    <col width="4.625" customWidth="1" style="44" min="1273" max="1273"/>
    <col width="10.25" customWidth="1" style="44" min="1274" max="1276"/>
    <col width="8.375" customWidth="1" style="44" min="1277" max="1509"/>
    <col width="10.125" customWidth="1" style="44" min="1510" max="1510"/>
    <col width="11" customWidth="1" style="44" min="1511" max="1511"/>
    <col width="7.875" customWidth="1" style="44" min="1512" max="1512"/>
    <col width="9.25" customWidth="1" style="44" min="1513" max="1513"/>
    <col width="0.125" customWidth="1" style="44" min="1514" max="1514"/>
    <col width="9.75" customWidth="1" style="44" min="1515" max="1527"/>
    <col width="8.375" customWidth="1" style="44" min="1528" max="1528"/>
    <col width="4.625" customWidth="1" style="44" min="1529" max="1529"/>
    <col width="10.25" customWidth="1" style="44" min="1530" max="1532"/>
    <col width="8.375" customWidth="1" style="44" min="1533" max="1765"/>
    <col width="10.125" customWidth="1" style="44" min="1766" max="1766"/>
    <col width="11" customWidth="1" style="44" min="1767" max="1767"/>
    <col width="7.875" customWidth="1" style="44" min="1768" max="1768"/>
    <col width="9.25" customWidth="1" style="44" min="1769" max="1769"/>
    <col width="0.125" customWidth="1" style="44" min="1770" max="1770"/>
    <col width="9.75" customWidth="1" style="44" min="1771" max="1783"/>
    <col width="8.375" customWidth="1" style="44" min="1784" max="1784"/>
    <col width="4.625" customWidth="1" style="44" min="1785" max="1785"/>
    <col width="10.25" customWidth="1" style="44" min="1786" max="1788"/>
    <col width="8.375" customWidth="1" style="44" min="1789" max="2021"/>
    <col width="10.125" customWidth="1" style="44" min="2022" max="2022"/>
    <col width="11" customWidth="1" style="44" min="2023" max="2023"/>
    <col width="7.875" customWidth="1" style="44" min="2024" max="2024"/>
    <col width="9.25" customWidth="1" style="44" min="2025" max="2025"/>
    <col width="0.125" customWidth="1" style="44" min="2026" max="2026"/>
    <col width="9.75" customWidth="1" style="44" min="2027" max="2039"/>
    <col width="8.375" customWidth="1" style="44" min="2040" max="2040"/>
    <col width="4.625" customWidth="1" style="44" min="2041" max="2041"/>
    <col width="10.25" customWidth="1" style="44" min="2042" max="2044"/>
    <col width="8.375" customWidth="1" style="44" min="2045" max="2277"/>
    <col width="10.125" customWidth="1" style="44" min="2278" max="2278"/>
    <col width="11" customWidth="1" style="44" min="2279" max="2279"/>
    <col width="7.875" customWidth="1" style="44" min="2280" max="2280"/>
    <col width="9.25" customWidth="1" style="44" min="2281" max="2281"/>
    <col width="0.125" customWidth="1" style="44" min="2282" max="2282"/>
    <col width="9.75" customWidth="1" style="44" min="2283" max="2295"/>
    <col width="8.375" customWidth="1" style="44" min="2296" max="2296"/>
    <col width="4.625" customWidth="1" style="44" min="2297" max="2297"/>
    <col width="10.25" customWidth="1" style="44" min="2298" max="2300"/>
    <col width="8.375" customWidth="1" style="44" min="2301" max="2533"/>
    <col width="10.125" customWidth="1" style="44" min="2534" max="2534"/>
    <col width="11" customWidth="1" style="44" min="2535" max="2535"/>
    <col width="7.875" customWidth="1" style="44" min="2536" max="2536"/>
    <col width="9.25" customWidth="1" style="44" min="2537" max="2537"/>
    <col width="0.125" customWidth="1" style="44" min="2538" max="2538"/>
    <col width="9.75" customWidth="1" style="44" min="2539" max="2551"/>
    <col width="8.375" customWidth="1" style="44" min="2552" max="2552"/>
    <col width="4.625" customWidth="1" style="44" min="2553" max="2553"/>
    <col width="10.25" customWidth="1" style="44" min="2554" max="2556"/>
    <col width="8.375" customWidth="1" style="44" min="2557" max="2789"/>
    <col width="10.125" customWidth="1" style="44" min="2790" max="2790"/>
    <col width="11" customWidth="1" style="44" min="2791" max="2791"/>
    <col width="7.875" customWidth="1" style="44" min="2792" max="2792"/>
    <col width="9.25" customWidth="1" style="44" min="2793" max="2793"/>
    <col width="0.125" customWidth="1" style="44" min="2794" max="2794"/>
    <col width="9.75" customWidth="1" style="44" min="2795" max="2807"/>
    <col width="8.375" customWidth="1" style="44" min="2808" max="2808"/>
    <col width="4.625" customWidth="1" style="44" min="2809" max="2809"/>
    <col width="10.25" customWidth="1" style="44" min="2810" max="2812"/>
    <col width="8.375" customWidth="1" style="44" min="2813" max="3045"/>
    <col width="10.125" customWidth="1" style="44" min="3046" max="3046"/>
    <col width="11" customWidth="1" style="44" min="3047" max="3047"/>
    <col width="7.875" customWidth="1" style="44" min="3048" max="3048"/>
    <col width="9.25" customWidth="1" style="44" min="3049" max="3049"/>
    <col width="0.125" customWidth="1" style="44" min="3050" max="3050"/>
    <col width="9.75" customWidth="1" style="44" min="3051" max="3063"/>
    <col width="8.375" customWidth="1" style="44" min="3064" max="3064"/>
    <col width="4.625" customWidth="1" style="44" min="3065" max="3065"/>
    <col width="10.25" customWidth="1" style="44" min="3066" max="3068"/>
    <col width="8.375" customWidth="1" style="44" min="3069" max="3301"/>
    <col width="10.125" customWidth="1" style="44" min="3302" max="3302"/>
    <col width="11" customWidth="1" style="44" min="3303" max="3303"/>
    <col width="7.875" customWidth="1" style="44" min="3304" max="3304"/>
    <col width="9.25" customWidth="1" style="44" min="3305" max="3305"/>
    <col width="0.125" customWidth="1" style="44" min="3306" max="3306"/>
    <col width="9.75" customWidth="1" style="44" min="3307" max="3319"/>
    <col width="8.375" customWidth="1" style="44" min="3320" max="3320"/>
    <col width="4.625" customWidth="1" style="44" min="3321" max="3321"/>
    <col width="10.25" customWidth="1" style="44" min="3322" max="3324"/>
    <col width="8.375" customWidth="1" style="44" min="3325" max="3557"/>
    <col width="10.125" customWidth="1" style="44" min="3558" max="3558"/>
    <col width="11" customWidth="1" style="44" min="3559" max="3559"/>
    <col width="7.875" customWidth="1" style="44" min="3560" max="3560"/>
    <col width="9.25" customWidth="1" style="44" min="3561" max="3561"/>
    <col width="0.125" customWidth="1" style="44" min="3562" max="3562"/>
    <col width="9.75" customWidth="1" style="44" min="3563" max="3575"/>
    <col width="8.375" customWidth="1" style="44" min="3576" max="3576"/>
    <col width="4.625" customWidth="1" style="44" min="3577" max="3577"/>
    <col width="10.25" customWidth="1" style="44" min="3578" max="3580"/>
    <col width="8.375" customWidth="1" style="44" min="3581" max="3813"/>
    <col width="10.125" customWidth="1" style="44" min="3814" max="3814"/>
    <col width="11" customWidth="1" style="44" min="3815" max="3815"/>
    <col width="7.875" customWidth="1" style="44" min="3816" max="3816"/>
    <col width="9.25" customWidth="1" style="44" min="3817" max="3817"/>
    <col width="0.125" customWidth="1" style="44" min="3818" max="3818"/>
    <col width="9.75" customWidth="1" style="44" min="3819" max="3831"/>
    <col width="8.375" customWidth="1" style="44" min="3832" max="3832"/>
    <col width="4.625" customWidth="1" style="44" min="3833" max="3833"/>
    <col width="10.25" customWidth="1" style="44" min="3834" max="3836"/>
    <col width="8.375" customWidth="1" style="44" min="3837" max="4069"/>
    <col width="10.125" customWidth="1" style="44" min="4070" max="4070"/>
    <col width="11" customWidth="1" style="44" min="4071" max="4071"/>
    <col width="7.875" customWidth="1" style="44" min="4072" max="4072"/>
    <col width="9.25" customWidth="1" style="44" min="4073" max="4073"/>
    <col width="0.125" customWidth="1" style="44" min="4074" max="4074"/>
    <col width="9.75" customWidth="1" style="44" min="4075" max="4087"/>
    <col width="8.375" customWidth="1" style="44" min="4088" max="4088"/>
    <col width="4.625" customWidth="1" style="44" min="4089" max="4089"/>
    <col width="10.25" customWidth="1" style="44" min="4090" max="4092"/>
    <col width="8.375" customWidth="1" style="44" min="4093" max="4325"/>
    <col width="10.125" customWidth="1" style="44" min="4326" max="4326"/>
    <col width="11" customWidth="1" style="44" min="4327" max="4327"/>
    <col width="7.875" customWidth="1" style="44" min="4328" max="4328"/>
    <col width="9.25" customWidth="1" style="44" min="4329" max="4329"/>
    <col width="0.125" customWidth="1" style="44" min="4330" max="4330"/>
    <col width="9.75" customWidth="1" style="44" min="4331" max="4343"/>
    <col width="8.375" customWidth="1" style="44" min="4344" max="4344"/>
    <col width="4.625" customWidth="1" style="44" min="4345" max="4345"/>
    <col width="10.25" customWidth="1" style="44" min="4346" max="4348"/>
    <col width="8.375" customWidth="1" style="44" min="4349" max="4581"/>
    <col width="10.125" customWidth="1" style="44" min="4582" max="4582"/>
    <col width="11" customWidth="1" style="44" min="4583" max="4583"/>
    <col width="7.875" customWidth="1" style="44" min="4584" max="4584"/>
    <col width="9.25" customWidth="1" style="44" min="4585" max="4585"/>
    <col width="0.125" customWidth="1" style="44" min="4586" max="4586"/>
    <col width="9.75" customWidth="1" style="44" min="4587" max="4599"/>
    <col width="8.375" customWidth="1" style="44" min="4600" max="4600"/>
    <col width="4.625" customWidth="1" style="44" min="4601" max="4601"/>
    <col width="10.25" customWidth="1" style="44" min="4602" max="4604"/>
    <col width="8.375" customWidth="1" style="44" min="4605" max="4837"/>
    <col width="10.125" customWidth="1" style="44" min="4838" max="4838"/>
    <col width="11" customWidth="1" style="44" min="4839" max="4839"/>
    <col width="7.875" customWidth="1" style="44" min="4840" max="4840"/>
    <col width="9.25" customWidth="1" style="44" min="4841" max="4841"/>
    <col width="0.125" customWidth="1" style="44" min="4842" max="4842"/>
    <col width="9.75" customWidth="1" style="44" min="4843" max="4855"/>
    <col width="8.375" customWidth="1" style="44" min="4856" max="4856"/>
    <col width="4.625" customWidth="1" style="44" min="4857" max="4857"/>
    <col width="10.25" customWidth="1" style="44" min="4858" max="4860"/>
    <col width="8.375" customWidth="1" style="44" min="4861" max="5093"/>
    <col width="10.125" customWidth="1" style="44" min="5094" max="5094"/>
    <col width="11" customWidth="1" style="44" min="5095" max="5095"/>
    <col width="7.875" customWidth="1" style="44" min="5096" max="5096"/>
    <col width="9.25" customWidth="1" style="44" min="5097" max="5097"/>
    <col width="0.125" customWidth="1" style="44" min="5098" max="5098"/>
    <col width="9.75" customWidth="1" style="44" min="5099" max="5111"/>
    <col width="8.375" customWidth="1" style="44" min="5112" max="5112"/>
    <col width="4.625" customWidth="1" style="44" min="5113" max="5113"/>
    <col width="10.25" customWidth="1" style="44" min="5114" max="5116"/>
    <col width="8.375" customWidth="1" style="44" min="5117" max="5349"/>
    <col width="10.125" customWidth="1" style="44" min="5350" max="5350"/>
    <col width="11" customWidth="1" style="44" min="5351" max="5351"/>
    <col width="7.875" customWidth="1" style="44" min="5352" max="5352"/>
    <col width="9.25" customWidth="1" style="44" min="5353" max="5353"/>
    <col width="0.125" customWidth="1" style="44" min="5354" max="5354"/>
    <col width="9.75" customWidth="1" style="44" min="5355" max="5367"/>
    <col width="8.375" customWidth="1" style="44" min="5368" max="5368"/>
    <col width="4.625" customWidth="1" style="44" min="5369" max="5369"/>
    <col width="10.25" customWidth="1" style="44" min="5370" max="5372"/>
    <col width="8.375" customWidth="1" style="44" min="5373" max="5605"/>
    <col width="10.125" customWidth="1" style="44" min="5606" max="5606"/>
    <col width="11" customWidth="1" style="44" min="5607" max="5607"/>
    <col width="7.875" customWidth="1" style="44" min="5608" max="5608"/>
    <col width="9.25" customWidth="1" style="44" min="5609" max="5609"/>
    <col width="0.125" customWidth="1" style="44" min="5610" max="5610"/>
    <col width="9.75" customWidth="1" style="44" min="5611" max="5623"/>
    <col width="8.375" customWidth="1" style="44" min="5624" max="5624"/>
    <col width="4.625" customWidth="1" style="44" min="5625" max="5625"/>
    <col width="10.25" customWidth="1" style="44" min="5626" max="5628"/>
    <col width="8.375" customWidth="1" style="44" min="5629" max="5861"/>
    <col width="10.125" customWidth="1" style="44" min="5862" max="5862"/>
    <col width="11" customWidth="1" style="44" min="5863" max="5863"/>
    <col width="7.875" customWidth="1" style="44" min="5864" max="5864"/>
    <col width="9.25" customWidth="1" style="44" min="5865" max="5865"/>
    <col width="0.125" customWidth="1" style="44" min="5866" max="5866"/>
    <col width="9.75" customWidth="1" style="44" min="5867" max="5879"/>
    <col width="8.375" customWidth="1" style="44" min="5880" max="5880"/>
    <col width="4.625" customWidth="1" style="44" min="5881" max="5881"/>
    <col width="10.25" customWidth="1" style="44" min="5882" max="5884"/>
    <col width="8.375" customWidth="1" style="44" min="5885" max="6117"/>
    <col width="10.125" customWidth="1" style="44" min="6118" max="6118"/>
    <col width="11" customWidth="1" style="44" min="6119" max="6119"/>
    <col width="7.875" customWidth="1" style="44" min="6120" max="6120"/>
    <col width="9.25" customWidth="1" style="44" min="6121" max="6121"/>
    <col width="0.125" customWidth="1" style="44" min="6122" max="6122"/>
    <col width="9.75" customWidth="1" style="44" min="6123" max="6135"/>
    <col width="8.375" customWidth="1" style="44" min="6136" max="6136"/>
    <col width="4.625" customWidth="1" style="44" min="6137" max="6137"/>
    <col width="10.25" customWidth="1" style="44" min="6138" max="6140"/>
    <col width="8.375" customWidth="1" style="44" min="6141" max="6373"/>
    <col width="10.125" customWidth="1" style="44" min="6374" max="6374"/>
    <col width="11" customWidth="1" style="44" min="6375" max="6375"/>
    <col width="7.875" customWidth="1" style="44" min="6376" max="6376"/>
    <col width="9.25" customWidth="1" style="44" min="6377" max="6377"/>
    <col width="0.125" customWidth="1" style="44" min="6378" max="6378"/>
    <col width="9.75" customWidth="1" style="44" min="6379" max="6391"/>
    <col width="8.375" customWidth="1" style="44" min="6392" max="6392"/>
    <col width="4.625" customWidth="1" style="44" min="6393" max="6393"/>
    <col width="10.25" customWidth="1" style="44" min="6394" max="6396"/>
    <col width="8.375" customWidth="1" style="44" min="6397" max="6629"/>
    <col width="10.125" customWidth="1" style="44" min="6630" max="6630"/>
    <col width="11" customWidth="1" style="44" min="6631" max="6631"/>
    <col width="7.875" customWidth="1" style="44" min="6632" max="6632"/>
    <col width="9.25" customWidth="1" style="44" min="6633" max="6633"/>
    <col width="0.125" customWidth="1" style="44" min="6634" max="6634"/>
    <col width="9.75" customWidth="1" style="44" min="6635" max="6647"/>
    <col width="8.375" customWidth="1" style="44" min="6648" max="6648"/>
    <col width="4.625" customWidth="1" style="44" min="6649" max="6649"/>
    <col width="10.25" customWidth="1" style="44" min="6650" max="6652"/>
    <col width="8.375" customWidth="1" style="44" min="6653" max="6885"/>
    <col width="10.125" customWidth="1" style="44" min="6886" max="6886"/>
    <col width="11" customWidth="1" style="44" min="6887" max="6887"/>
    <col width="7.875" customWidth="1" style="44" min="6888" max="6888"/>
    <col width="9.25" customWidth="1" style="44" min="6889" max="6889"/>
    <col width="0.125" customWidth="1" style="44" min="6890" max="6890"/>
    <col width="9.75" customWidth="1" style="44" min="6891" max="6903"/>
    <col width="8.375" customWidth="1" style="44" min="6904" max="6904"/>
    <col width="4.625" customWidth="1" style="44" min="6905" max="6905"/>
    <col width="10.25" customWidth="1" style="44" min="6906" max="6908"/>
    <col width="8.375" customWidth="1" style="44" min="6909" max="7141"/>
    <col width="10.125" customWidth="1" style="44" min="7142" max="7142"/>
    <col width="11" customWidth="1" style="44" min="7143" max="7143"/>
    <col width="7.875" customWidth="1" style="44" min="7144" max="7144"/>
    <col width="9.25" customWidth="1" style="44" min="7145" max="7145"/>
    <col width="0.125" customWidth="1" style="44" min="7146" max="7146"/>
    <col width="9.75" customWidth="1" style="44" min="7147" max="7159"/>
    <col width="8.375" customWidth="1" style="44" min="7160" max="7160"/>
    <col width="4.625" customWidth="1" style="44" min="7161" max="7161"/>
    <col width="10.25" customWidth="1" style="44" min="7162" max="7164"/>
    <col width="8.375" customWidth="1" style="44" min="7165" max="7397"/>
    <col width="10.125" customWidth="1" style="44" min="7398" max="7398"/>
    <col width="11" customWidth="1" style="44" min="7399" max="7399"/>
    <col width="7.875" customWidth="1" style="44" min="7400" max="7400"/>
    <col width="9.25" customWidth="1" style="44" min="7401" max="7401"/>
    <col width="0.125" customWidth="1" style="44" min="7402" max="7402"/>
    <col width="9.75" customWidth="1" style="44" min="7403" max="7415"/>
    <col width="8.375" customWidth="1" style="44" min="7416" max="7416"/>
    <col width="4.625" customWidth="1" style="44" min="7417" max="7417"/>
    <col width="10.25" customWidth="1" style="44" min="7418" max="7420"/>
    <col width="8.375" customWidth="1" style="44" min="7421" max="7653"/>
    <col width="10.125" customWidth="1" style="44" min="7654" max="7654"/>
    <col width="11" customWidth="1" style="44" min="7655" max="7655"/>
    <col width="7.875" customWidth="1" style="44" min="7656" max="7656"/>
    <col width="9.25" customWidth="1" style="44" min="7657" max="7657"/>
    <col width="0.125" customWidth="1" style="44" min="7658" max="7658"/>
    <col width="9.75" customWidth="1" style="44" min="7659" max="7671"/>
    <col width="8.375" customWidth="1" style="44" min="7672" max="7672"/>
    <col width="4.625" customWidth="1" style="44" min="7673" max="7673"/>
    <col width="10.25" customWidth="1" style="44" min="7674" max="7676"/>
    <col width="8.375" customWidth="1" style="44" min="7677" max="7909"/>
    <col width="10.125" customWidth="1" style="44" min="7910" max="7910"/>
    <col width="11" customWidth="1" style="44" min="7911" max="7911"/>
    <col width="7.875" customWidth="1" style="44" min="7912" max="7912"/>
    <col width="9.25" customWidth="1" style="44" min="7913" max="7913"/>
    <col width="0.125" customWidth="1" style="44" min="7914" max="7914"/>
    <col width="9.75" customWidth="1" style="44" min="7915" max="7927"/>
    <col width="8.375" customWidth="1" style="44" min="7928" max="7928"/>
    <col width="4.625" customWidth="1" style="44" min="7929" max="7929"/>
    <col width="10.25" customWidth="1" style="44" min="7930" max="7932"/>
    <col width="8.375" customWidth="1" style="44" min="7933" max="8165"/>
    <col width="10.125" customWidth="1" style="44" min="8166" max="8166"/>
    <col width="11" customWidth="1" style="44" min="8167" max="8167"/>
    <col width="7.875" customWidth="1" style="44" min="8168" max="8168"/>
    <col width="9.25" customWidth="1" style="44" min="8169" max="8169"/>
    <col width="0.125" customWidth="1" style="44" min="8170" max="8170"/>
    <col width="9.75" customWidth="1" style="44" min="8171" max="8183"/>
    <col width="8.375" customWidth="1" style="44" min="8184" max="8184"/>
    <col width="4.625" customWidth="1" style="44" min="8185" max="8185"/>
    <col width="10.25" customWidth="1" style="44" min="8186" max="8188"/>
    <col width="8.375" customWidth="1" style="44" min="8189" max="8421"/>
    <col width="10.125" customWidth="1" style="44" min="8422" max="8422"/>
    <col width="11" customWidth="1" style="44" min="8423" max="8423"/>
    <col width="7.875" customWidth="1" style="44" min="8424" max="8424"/>
    <col width="9.25" customWidth="1" style="44" min="8425" max="8425"/>
    <col width="0.125" customWidth="1" style="44" min="8426" max="8426"/>
    <col width="9.75" customWidth="1" style="44" min="8427" max="8439"/>
    <col width="8.375" customWidth="1" style="44" min="8440" max="8440"/>
    <col width="4.625" customWidth="1" style="44" min="8441" max="8441"/>
    <col width="10.25" customWidth="1" style="44" min="8442" max="8444"/>
    <col width="8.375" customWidth="1" style="44" min="8445" max="8677"/>
    <col width="10.125" customWidth="1" style="44" min="8678" max="8678"/>
    <col width="11" customWidth="1" style="44" min="8679" max="8679"/>
    <col width="7.875" customWidth="1" style="44" min="8680" max="8680"/>
    <col width="9.25" customWidth="1" style="44" min="8681" max="8681"/>
    <col width="0.125" customWidth="1" style="44" min="8682" max="8682"/>
    <col width="9.75" customWidth="1" style="44" min="8683" max="8695"/>
    <col width="8.375" customWidth="1" style="44" min="8696" max="8696"/>
    <col width="4.625" customWidth="1" style="44" min="8697" max="8697"/>
    <col width="10.25" customWidth="1" style="44" min="8698" max="8700"/>
    <col width="8.375" customWidth="1" style="44" min="8701" max="8933"/>
    <col width="10.125" customWidth="1" style="44" min="8934" max="8934"/>
    <col width="11" customWidth="1" style="44" min="8935" max="8935"/>
    <col width="7.875" customWidth="1" style="44" min="8936" max="8936"/>
    <col width="9.25" customWidth="1" style="44" min="8937" max="8937"/>
    <col width="0.125" customWidth="1" style="44" min="8938" max="8938"/>
    <col width="9.75" customWidth="1" style="44" min="8939" max="8951"/>
    <col width="8.375" customWidth="1" style="44" min="8952" max="8952"/>
    <col width="4.625" customWidth="1" style="44" min="8953" max="8953"/>
    <col width="10.25" customWidth="1" style="44" min="8954" max="8956"/>
    <col width="8.375" customWidth="1" style="44" min="8957" max="9189"/>
    <col width="10.125" customWidth="1" style="44" min="9190" max="9190"/>
    <col width="11" customWidth="1" style="44" min="9191" max="9191"/>
    <col width="7.875" customWidth="1" style="44" min="9192" max="9192"/>
    <col width="9.25" customWidth="1" style="44" min="9193" max="9193"/>
    <col width="0.125" customWidth="1" style="44" min="9194" max="9194"/>
    <col width="9.75" customWidth="1" style="44" min="9195" max="9207"/>
    <col width="8.375" customWidth="1" style="44" min="9208" max="9208"/>
    <col width="4.625" customWidth="1" style="44" min="9209" max="9209"/>
    <col width="10.25" customWidth="1" style="44" min="9210" max="9212"/>
    <col width="8.375" customWidth="1" style="44" min="9213" max="9445"/>
    <col width="10.125" customWidth="1" style="44" min="9446" max="9446"/>
    <col width="11" customWidth="1" style="44" min="9447" max="9447"/>
    <col width="7.875" customWidth="1" style="44" min="9448" max="9448"/>
    <col width="9.25" customWidth="1" style="44" min="9449" max="9449"/>
    <col width="0.125" customWidth="1" style="44" min="9450" max="9450"/>
    <col width="9.75" customWidth="1" style="44" min="9451" max="9463"/>
    <col width="8.375" customWidth="1" style="44" min="9464" max="9464"/>
    <col width="4.625" customWidth="1" style="44" min="9465" max="9465"/>
    <col width="10.25" customWidth="1" style="44" min="9466" max="9468"/>
    <col width="8.375" customWidth="1" style="44" min="9469" max="9701"/>
    <col width="10.125" customWidth="1" style="44" min="9702" max="9702"/>
    <col width="11" customWidth="1" style="44" min="9703" max="9703"/>
    <col width="7.875" customWidth="1" style="44" min="9704" max="9704"/>
    <col width="9.25" customWidth="1" style="44" min="9705" max="9705"/>
    <col width="0.125" customWidth="1" style="44" min="9706" max="9706"/>
    <col width="9.75" customWidth="1" style="44" min="9707" max="9719"/>
    <col width="8.375" customWidth="1" style="44" min="9720" max="9720"/>
    <col width="4.625" customWidth="1" style="44" min="9721" max="9721"/>
    <col width="10.25" customWidth="1" style="44" min="9722" max="9724"/>
    <col width="8.375" customWidth="1" style="44" min="9725" max="9957"/>
    <col width="10.125" customWidth="1" style="44" min="9958" max="9958"/>
    <col width="11" customWidth="1" style="44" min="9959" max="9959"/>
    <col width="7.875" customWidth="1" style="44" min="9960" max="9960"/>
    <col width="9.25" customWidth="1" style="44" min="9961" max="9961"/>
    <col width="0.125" customWidth="1" style="44" min="9962" max="9962"/>
    <col width="9.75" customWidth="1" style="44" min="9963" max="9975"/>
    <col width="8.375" customWidth="1" style="44" min="9976" max="9976"/>
    <col width="4.625" customWidth="1" style="44" min="9977" max="9977"/>
    <col width="10.25" customWidth="1" style="44" min="9978" max="9980"/>
    <col width="8.375" customWidth="1" style="44" min="9981" max="10213"/>
    <col width="10.125" customWidth="1" style="44" min="10214" max="10214"/>
    <col width="11" customWidth="1" style="44" min="10215" max="10215"/>
    <col width="7.875" customWidth="1" style="44" min="10216" max="10216"/>
    <col width="9.25" customWidth="1" style="44" min="10217" max="10217"/>
    <col width="0.125" customWidth="1" style="44" min="10218" max="10218"/>
    <col width="9.75" customWidth="1" style="44" min="10219" max="10231"/>
    <col width="8.375" customWidth="1" style="44" min="10232" max="10232"/>
    <col width="4.625" customWidth="1" style="44" min="10233" max="10233"/>
    <col width="10.25" customWidth="1" style="44" min="10234" max="10236"/>
    <col width="8.375" customWidth="1" style="44" min="10237" max="10469"/>
    <col width="10.125" customWidth="1" style="44" min="10470" max="10470"/>
    <col width="11" customWidth="1" style="44" min="10471" max="10471"/>
    <col width="7.875" customWidth="1" style="44" min="10472" max="10472"/>
    <col width="9.25" customWidth="1" style="44" min="10473" max="10473"/>
    <col width="0.125" customWidth="1" style="44" min="10474" max="10474"/>
    <col width="9.75" customWidth="1" style="44" min="10475" max="10487"/>
    <col width="8.375" customWidth="1" style="44" min="10488" max="10488"/>
    <col width="4.625" customWidth="1" style="44" min="10489" max="10489"/>
    <col width="10.25" customWidth="1" style="44" min="10490" max="10492"/>
    <col width="8.375" customWidth="1" style="44" min="10493" max="10725"/>
    <col width="10.125" customWidth="1" style="44" min="10726" max="10726"/>
    <col width="11" customWidth="1" style="44" min="10727" max="10727"/>
    <col width="7.875" customWidth="1" style="44" min="10728" max="10728"/>
    <col width="9.25" customWidth="1" style="44" min="10729" max="10729"/>
    <col width="0.125" customWidth="1" style="44" min="10730" max="10730"/>
    <col width="9.75" customWidth="1" style="44" min="10731" max="10743"/>
    <col width="8.375" customWidth="1" style="44" min="10744" max="10744"/>
    <col width="4.625" customWidth="1" style="44" min="10745" max="10745"/>
    <col width="10.25" customWidth="1" style="44" min="10746" max="10748"/>
    <col width="8.375" customWidth="1" style="44" min="10749" max="10981"/>
    <col width="10.125" customWidth="1" style="44" min="10982" max="10982"/>
    <col width="11" customWidth="1" style="44" min="10983" max="10983"/>
    <col width="7.875" customWidth="1" style="44" min="10984" max="10984"/>
    <col width="9.25" customWidth="1" style="44" min="10985" max="10985"/>
    <col width="0.125" customWidth="1" style="44" min="10986" max="10986"/>
    <col width="9.75" customWidth="1" style="44" min="10987" max="10999"/>
    <col width="8.375" customWidth="1" style="44" min="11000" max="11000"/>
    <col width="4.625" customWidth="1" style="44" min="11001" max="11001"/>
    <col width="10.25" customWidth="1" style="44" min="11002" max="11004"/>
    <col width="8.375" customWidth="1" style="44" min="11005" max="11237"/>
    <col width="10.125" customWidth="1" style="44" min="11238" max="11238"/>
    <col width="11" customWidth="1" style="44" min="11239" max="11239"/>
    <col width="7.875" customWidth="1" style="44" min="11240" max="11240"/>
    <col width="9.25" customWidth="1" style="44" min="11241" max="11241"/>
    <col width="0.125" customWidth="1" style="44" min="11242" max="11242"/>
    <col width="9.75" customWidth="1" style="44" min="11243" max="11255"/>
    <col width="8.375" customWidth="1" style="44" min="11256" max="11256"/>
    <col width="4.625" customWidth="1" style="44" min="11257" max="11257"/>
    <col width="10.25" customWidth="1" style="44" min="11258" max="11260"/>
    <col width="8.375" customWidth="1" style="44" min="11261" max="11493"/>
    <col width="10.125" customWidth="1" style="44" min="11494" max="11494"/>
    <col width="11" customWidth="1" style="44" min="11495" max="11495"/>
    <col width="7.875" customWidth="1" style="44" min="11496" max="11496"/>
    <col width="9.25" customWidth="1" style="44" min="11497" max="11497"/>
    <col width="0.125" customWidth="1" style="44" min="11498" max="11498"/>
    <col width="9.75" customWidth="1" style="44" min="11499" max="11511"/>
    <col width="8.375" customWidth="1" style="44" min="11512" max="11512"/>
    <col width="4.625" customWidth="1" style="44" min="11513" max="11513"/>
    <col width="10.25" customWidth="1" style="44" min="11514" max="11516"/>
    <col width="8.375" customWidth="1" style="44" min="11517" max="11749"/>
    <col width="10.125" customWidth="1" style="44" min="11750" max="11750"/>
    <col width="11" customWidth="1" style="44" min="11751" max="11751"/>
    <col width="7.875" customWidth="1" style="44" min="11752" max="11752"/>
    <col width="9.25" customWidth="1" style="44" min="11753" max="11753"/>
    <col width="0.125" customWidth="1" style="44" min="11754" max="11754"/>
    <col width="9.75" customWidth="1" style="44" min="11755" max="11767"/>
    <col width="8.375" customWidth="1" style="44" min="11768" max="11768"/>
    <col width="4.625" customWidth="1" style="44" min="11769" max="11769"/>
    <col width="10.25" customWidth="1" style="44" min="11770" max="11772"/>
    <col width="8.375" customWidth="1" style="44" min="11773" max="12005"/>
    <col width="10.125" customWidth="1" style="44" min="12006" max="12006"/>
    <col width="11" customWidth="1" style="44" min="12007" max="12007"/>
    <col width="7.875" customWidth="1" style="44" min="12008" max="12008"/>
    <col width="9.25" customWidth="1" style="44" min="12009" max="12009"/>
    <col width="0.125" customWidth="1" style="44" min="12010" max="12010"/>
    <col width="9.75" customWidth="1" style="44" min="12011" max="12023"/>
    <col width="8.375" customWidth="1" style="44" min="12024" max="12024"/>
    <col width="4.625" customWidth="1" style="44" min="12025" max="12025"/>
    <col width="10.25" customWidth="1" style="44" min="12026" max="12028"/>
    <col width="8.375" customWidth="1" style="44" min="12029" max="12261"/>
    <col width="10.125" customWidth="1" style="44" min="12262" max="12262"/>
    <col width="11" customWidth="1" style="44" min="12263" max="12263"/>
    <col width="7.875" customWidth="1" style="44" min="12264" max="12264"/>
    <col width="9.25" customWidth="1" style="44" min="12265" max="12265"/>
    <col width="0.125" customWidth="1" style="44" min="12266" max="12266"/>
    <col width="9.75" customWidth="1" style="44" min="12267" max="12279"/>
    <col width="8.375" customWidth="1" style="44" min="12280" max="12280"/>
    <col width="4.625" customWidth="1" style="44" min="12281" max="12281"/>
    <col width="10.25" customWidth="1" style="44" min="12282" max="12284"/>
    <col width="8.375" customWidth="1" style="44" min="12285" max="12517"/>
    <col width="10.125" customWidth="1" style="44" min="12518" max="12518"/>
    <col width="11" customWidth="1" style="44" min="12519" max="12519"/>
    <col width="7.875" customWidth="1" style="44" min="12520" max="12520"/>
    <col width="9.25" customWidth="1" style="44" min="12521" max="12521"/>
    <col width="0.125" customWidth="1" style="44" min="12522" max="12522"/>
    <col width="9.75" customWidth="1" style="44" min="12523" max="12535"/>
    <col width="8.375" customWidth="1" style="44" min="12536" max="12536"/>
    <col width="4.625" customWidth="1" style="44" min="12537" max="12537"/>
    <col width="10.25" customWidth="1" style="44" min="12538" max="12540"/>
    <col width="8.375" customWidth="1" style="44" min="12541" max="12773"/>
    <col width="10.125" customWidth="1" style="44" min="12774" max="12774"/>
    <col width="11" customWidth="1" style="44" min="12775" max="12775"/>
    <col width="7.875" customWidth="1" style="44" min="12776" max="12776"/>
    <col width="9.25" customWidth="1" style="44" min="12777" max="12777"/>
    <col width="0.125" customWidth="1" style="44" min="12778" max="12778"/>
    <col width="9.75" customWidth="1" style="44" min="12779" max="12791"/>
    <col width="8.375" customWidth="1" style="44" min="12792" max="12792"/>
    <col width="4.625" customWidth="1" style="44" min="12793" max="12793"/>
    <col width="10.25" customWidth="1" style="44" min="12794" max="12796"/>
    <col width="8.375" customWidth="1" style="44" min="12797" max="13029"/>
    <col width="10.125" customWidth="1" style="44" min="13030" max="13030"/>
    <col width="11" customWidth="1" style="44" min="13031" max="13031"/>
    <col width="7.875" customWidth="1" style="44" min="13032" max="13032"/>
    <col width="9.25" customWidth="1" style="44" min="13033" max="13033"/>
    <col width="0.125" customWidth="1" style="44" min="13034" max="13034"/>
    <col width="9.75" customWidth="1" style="44" min="13035" max="13047"/>
    <col width="8.375" customWidth="1" style="44" min="13048" max="13048"/>
    <col width="4.625" customWidth="1" style="44" min="13049" max="13049"/>
    <col width="10.25" customWidth="1" style="44" min="13050" max="13052"/>
    <col width="8.375" customWidth="1" style="44" min="13053" max="13285"/>
    <col width="10.125" customWidth="1" style="44" min="13286" max="13286"/>
    <col width="11" customWidth="1" style="44" min="13287" max="13287"/>
    <col width="7.875" customWidth="1" style="44" min="13288" max="13288"/>
    <col width="9.25" customWidth="1" style="44" min="13289" max="13289"/>
    <col width="0.125" customWidth="1" style="44" min="13290" max="13290"/>
    <col width="9.75" customWidth="1" style="44" min="13291" max="13303"/>
    <col width="8.375" customWidth="1" style="44" min="13304" max="13304"/>
    <col width="4.625" customWidth="1" style="44" min="13305" max="13305"/>
    <col width="10.25" customWidth="1" style="44" min="13306" max="13308"/>
    <col width="8.375" customWidth="1" style="44" min="13309" max="13541"/>
    <col width="10.125" customWidth="1" style="44" min="13542" max="13542"/>
    <col width="11" customWidth="1" style="44" min="13543" max="13543"/>
    <col width="7.875" customWidth="1" style="44" min="13544" max="13544"/>
    <col width="9.25" customWidth="1" style="44" min="13545" max="13545"/>
    <col width="0.125" customWidth="1" style="44" min="13546" max="13546"/>
    <col width="9.75" customWidth="1" style="44" min="13547" max="13559"/>
    <col width="8.375" customWidth="1" style="44" min="13560" max="13560"/>
    <col width="4.625" customWidth="1" style="44" min="13561" max="13561"/>
    <col width="10.25" customWidth="1" style="44" min="13562" max="13564"/>
    <col width="8.375" customWidth="1" style="44" min="13565" max="13797"/>
    <col width="10.125" customWidth="1" style="44" min="13798" max="13798"/>
    <col width="11" customWidth="1" style="44" min="13799" max="13799"/>
    <col width="7.875" customWidth="1" style="44" min="13800" max="13800"/>
    <col width="9.25" customWidth="1" style="44" min="13801" max="13801"/>
    <col width="0.125" customWidth="1" style="44" min="13802" max="13802"/>
    <col width="9.75" customWidth="1" style="44" min="13803" max="13815"/>
    <col width="8.375" customWidth="1" style="44" min="13816" max="13816"/>
    <col width="4.625" customWidth="1" style="44" min="13817" max="13817"/>
    <col width="10.25" customWidth="1" style="44" min="13818" max="13820"/>
    <col width="8.375" customWidth="1" style="44" min="13821" max="14053"/>
    <col width="10.125" customWidth="1" style="44" min="14054" max="14054"/>
    <col width="11" customWidth="1" style="44" min="14055" max="14055"/>
    <col width="7.875" customWidth="1" style="44" min="14056" max="14056"/>
    <col width="9.25" customWidth="1" style="44" min="14057" max="14057"/>
    <col width="0.125" customWidth="1" style="44" min="14058" max="14058"/>
    <col width="9.75" customWidth="1" style="44" min="14059" max="14071"/>
    <col width="8.375" customWidth="1" style="44" min="14072" max="14072"/>
    <col width="4.625" customWidth="1" style="44" min="14073" max="14073"/>
    <col width="10.25" customWidth="1" style="44" min="14074" max="14076"/>
    <col width="8.375" customWidth="1" style="44" min="14077" max="14309"/>
    <col width="10.125" customWidth="1" style="44" min="14310" max="14310"/>
    <col width="11" customWidth="1" style="44" min="14311" max="14311"/>
    <col width="7.875" customWidth="1" style="44" min="14312" max="14312"/>
    <col width="9.25" customWidth="1" style="44" min="14313" max="14313"/>
    <col width="0.125" customWidth="1" style="44" min="14314" max="14314"/>
    <col width="9.75" customWidth="1" style="44" min="14315" max="14327"/>
    <col width="8.375" customWidth="1" style="44" min="14328" max="14328"/>
    <col width="4.625" customWidth="1" style="44" min="14329" max="14329"/>
    <col width="10.25" customWidth="1" style="44" min="14330" max="14332"/>
    <col width="8.375" customWidth="1" style="44" min="14333" max="14565"/>
    <col width="10.125" customWidth="1" style="44" min="14566" max="14566"/>
    <col width="11" customWidth="1" style="44" min="14567" max="14567"/>
    <col width="7.875" customWidth="1" style="44" min="14568" max="14568"/>
    <col width="9.25" customWidth="1" style="44" min="14569" max="14569"/>
    <col width="0.125" customWidth="1" style="44" min="14570" max="14570"/>
    <col width="9.75" customWidth="1" style="44" min="14571" max="14583"/>
    <col width="8.375" customWidth="1" style="44" min="14584" max="14584"/>
    <col width="4.625" customWidth="1" style="44" min="14585" max="14585"/>
    <col width="10.25" customWidth="1" style="44" min="14586" max="14588"/>
    <col width="8.375" customWidth="1" style="44" min="14589" max="14821"/>
    <col width="10.125" customWidth="1" style="44" min="14822" max="14822"/>
    <col width="11" customWidth="1" style="44" min="14823" max="14823"/>
    <col width="7.875" customWidth="1" style="44" min="14824" max="14824"/>
    <col width="9.25" customWidth="1" style="44" min="14825" max="14825"/>
    <col width="0.125" customWidth="1" style="44" min="14826" max="14826"/>
    <col width="9.75" customWidth="1" style="44" min="14827" max="14839"/>
    <col width="8.375" customWidth="1" style="44" min="14840" max="14840"/>
    <col width="4.625" customWidth="1" style="44" min="14841" max="14841"/>
    <col width="10.25" customWidth="1" style="44" min="14842" max="14844"/>
    <col width="8.375" customWidth="1" style="44" min="14845" max="15077"/>
    <col width="10.125" customWidth="1" style="44" min="15078" max="15078"/>
    <col width="11" customWidth="1" style="44" min="15079" max="15079"/>
    <col width="7.875" customWidth="1" style="44" min="15080" max="15080"/>
    <col width="9.25" customWidth="1" style="44" min="15081" max="15081"/>
    <col width="0.125" customWidth="1" style="44" min="15082" max="15082"/>
    <col width="9.75" customWidth="1" style="44" min="15083" max="15095"/>
    <col width="8.375" customWidth="1" style="44" min="15096" max="15096"/>
    <col width="4.625" customWidth="1" style="44" min="15097" max="15097"/>
    <col width="10.25" customWidth="1" style="44" min="15098" max="15100"/>
    <col width="8.375" customWidth="1" style="44" min="15101" max="15333"/>
    <col width="10.125" customWidth="1" style="44" min="15334" max="15334"/>
    <col width="11" customWidth="1" style="44" min="15335" max="15335"/>
    <col width="7.875" customWidth="1" style="44" min="15336" max="15336"/>
    <col width="9.25" customWidth="1" style="44" min="15337" max="15337"/>
    <col width="0.125" customWidth="1" style="44" min="15338" max="15338"/>
    <col width="9.75" customWidth="1" style="44" min="15339" max="15351"/>
    <col width="8.375" customWidth="1" style="44" min="15352" max="15352"/>
    <col width="4.625" customWidth="1" style="44" min="15353" max="15353"/>
    <col width="10.25" customWidth="1" style="44" min="15354" max="15356"/>
    <col width="8.375" customWidth="1" style="44" min="15357" max="15589"/>
    <col width="10.125" customWidth="1" style="44" min="15590" max="15590"/>
    <col width="11" customWidth="1" style="44" min="15591" max="15591"/>
    <col width="7.875" customWidth="1" style="44" min="15592" max="15592"/>
    <col width="9.25" customWidth="1" style="44" min="15593" max="15593"/>
    <col width="0.125" customWidth="1" style="44" min="15594" max="15594"/>
    <col width="9.75" customWidth="1" style="44" min="15595" max="15607"/>
    <col width="8.375" customWidth="1" style="44" min="15608" max="15608"/>
    <col width="4.625" customWidth="1" style="44" min="15609" max="15609"/>
    <col width="10.25" customWidth="1" style="44" min="15610" max="15612"/>
    <col width="8.375" customWidth="1" style="44" min="15613" max="15845"/>
    <col width="10.125" customWidth="1" style="44" min="15846" max="15846"/>
    <col width="11" customWidth="1" style="44" min="15847" max="15847"/>
    <col width="7.875" customWidth="1" style="44" min="15848" max="15848"/>
    <col width="9.25" customWidth="1" style="44" min="15849" max="15849"/>
    <col width="0.125" customWidth="1" style="44" min="15850" max="15850"/>
    <col width="9.75" customWidth="1" style="44" min="15851" max="15863"/>
    <col width="8.375" customWidth="1" style="44" min="15864" max="15864"/>
    <col width="4.625" customWidth="1" style="44" min="15865" max="15865"/>
    <col width="10.25" customWidth="1" style="44" min="15866" max="15868"/>
    <col width="8.375" customWidth="1" style="44" min="15869" max="16101"/>
    <col width="10.125" customWidth="1" style="44" min="16102" max="16102"/>
    <col width="11" customWidth="1" style="44" min="16103" max="16103"/>
    <col width="7.875" customWidth="1" style="44" min="16104" max="16104"/>
    <col width="9.25" customWidth="1" style="44" min="16105" max="16105"/>
    <col width="0.125" customWidth="1" style="44" min="16106" max="16106"/>
    <col width="9.75" customWidth="1" style="44" min="16107" max="16119"/>
    <col width="8.375" customWidth="1" style="44" min="16120" max="16120"/>
    <col width="4.625" customWidth="1" style="44" min="16121" max="16121"/>
    <col width="10.25" customWidth="1" style="44" min="16122" max="16124"/>
    <col width="8.375" customWidth="1" style="44" min="16125" max="16384"/>
  </cols>
  <sheetData>
    <row r="1" ht="20.1" customHeight="1" s="372">
      <c r="A1" s="42" t="inlineStr">
        <is>
          <t>Part Ⅰ-5. (       )년도 성과지표</t>
        </is>
      </c>
      <c r="B1" s="43" t="n"/>
      <c r="C1" s="43" t="n"/>
      <c r="D1" s="43" t="n"/>
      <c r="E1" s="43" t="n"/>
      <c r="F1" s="43" t="n"/>
      <c r="G1" s="43" t="n"/>
    </row>
    <row r="2"/>
    <row r="3" ht="20.1" customHeight="1" s="372">
      <c r="A3" s="83" t="inlineStr">
        <is>
          <t>프로세스명</t>
        </is>
      </c>
      <c r="B3" s="84" t="inlineStr">
        <is>
          <t>성과지표</t>
        </is>
      </c>
      <c r="C3" s="84" t="inlineStr">
        <is>
          <t>산출방식</t>
        </is>
      </c>
      <c r="D3" s="84" t="inlineStr">
        <is>
          <t>산출주기/시점</t>
        </is>
      </c>
      <c r="E3" s="84" t="inlineStr">
        <is>
          <t>목표</t>
        </is>
      </c>
      <c r="F3" s="84" t="inlineStr">
        <is>
          <t>실적</t>
        </is>
      </c>
      <c r="G3" s="84" t="inlineStr">
        <is>
          <t>목표대비 성과</t>
        </is>
      </c>
      <c r="H3" s="85" t="inlineStr">
        <is>
          <t>특기사항</t>
        </is>
      </c>
    </row>
    <row r="4" ht="20.1" customHeight="1" s="372">
      <c r="A4" s="76" t="n"/>
      <c r="B4" s="45" t="n"/>
      <c r="C4" s="46" t="n"/>
      <c r="D4" s="47" t="n"/>
      <c r="E4" s="48" t="n"/>
      <c r="F4" s="376" t="n"/>
      <c r="G4" s="376" t="n"/>
      <c r="H4" s="50" t="n"/>
    </row>
    <row r="5" ht="20.1" customHeight="1" s="372">
      <c r="A5" s="76" t="n"/>
      <c r="B5" s="45" t="n"/>
      <c r="C5" s="46" t="n"/>
      <c r="D5" s="377" t="n"/>
      <c r="E5" s="45" t="n"/>
      <c r="F5" s="378" t="n"/>
      <c r="G5" s="376" t="n"/>
      <c r="H5" s="50" t="n"/>
    </row>
    <row r="6" ht="20.1" customHeight="1" s="372">
      <c r="A6" s="76" t="n"/>
      <c r="B6" s="45" t="n"/>
      <c r="C6" s="53" t="n"/>
      <c r="D6" s="54" t="n"/>
      <c r="E6" s="45" t="n"/>
      <c r="F6" s="55" t="n"/>
      <c r="G6" s="56" t="n"/>
      <c r="H6" s="50" t="n"/>
    </row>
    <row r="7" ht="20.1" customHeight="1" s="372">
      <c r="A7" s="76" t="n"/>
      <c r="B7" s="45" t="n"/>
      <c r="C7" s="46" t="n"/>
      <c r="D7" s="47" t="n"/>
      <c r="E7" s="48" t="n"/>
      <c r="F7" s="47" t="n"/>
      <c r="G7" s="47" t="n"/>
      <c r="H7" s="50" t="n"/>
    </row>
    <row r="8" ht="20.1" customHeight="1" s="372">
      <c r="A8" s="76" t="n"/>
      <c r="B8" s="45" t="n"/>
      <c r="C8" s="46" t="n"/>
      <c r="D8" s="377" t="n"/>
      <c r="E8" s="45" t="n"/>
      <c r="F8" s="379" t="n"/>
      <c r="G8" s="379" t="n"/>
      <c r="H8" s="50" t="n"/>
    </row>
    <row r="9" ht="20.1" customHeight="1" s="372">
      <c r="A9" s="76" t="n"/>
      <c r="B9" s="45" t="n"/>
      <c r="C9" s="53" t="n"/>
      <c r="D9" s="54" t="n"/>
      <c r="E9" s="45" t="n"/>
      <c r="F9" s="58" t="n"/>
      <c r="G9" s="58" t="n"/>
      <c r="H9" s="50" t="n"/>
    </row>
    <row r="10" ht="20.1" customHeight="1" s="372">
      <c r="A10" s="76" t="n"/>
      <c r="B10" s="45" t="n"/>
      <c r="C10" s="59" t="n"/>
      <c r="D10" s="380" t="n"/>
      <c r="E10" s="61" t="n"/>
      <c r="F10" s="380" t="n"/>
      <c r="G10" s="380" t="n"/>
      <c r="H10" s="50" t="n"/>
    </row>
    <row r="11" ht="20.1" customHeight="1" s="372">
      <c r="A11" s="76" t="n"/>
      <c r="B11" s="62" t="n"/>
      <c r="C11" s="63" t="n"/>
      <c r="D11" s="380" t="n"/>
      <c r="E11" s="62" t="n"/>
      <c r="F11" s="381" t="n"/>
      <c r="G11" s="381" t="n"/>
      <c r="H11" s="50" t="n"/>
    </row>
    <row r="12" ht="20.1" customHeight="1" s="372">
      <c r="A12" s="82" t="n"/>
      <c r="B12" s="62" t="n"/>
      <c r="C12" s="46" t="n"/>
      <c r="D12" s="65" t="n"/>
      <c r="E12" s="62" t="n"/>
      <c r="F12" s="66" t="n"/>
      <c r="G12" s="66" t="n"/>
      <c r="H12" s="50" t="n"/>
    </row>
    <row r="13" ht="20.1" customHeight="1" s="372">
      <c r="A13" s="82" t="n"/>
      <c r="B13" s="62" t="n"/>
      <c r="C13" s="53" t="n"/>
      <c r="D13" s="382" t="n"/>
      <c r="E13" s="62" t="n"/>
      <c r="F13" s="55" t="n"/>
      <c r="G13" s="55" t="n"/>
      <c r="H13" s="50" t="n"/>
    </row>
    <row r="14" ht="20.1" customHeight="1" s="372">
      <c r="A14" s="76" t="n"/>
      <c r="B14" s="45" t="n"/>
      <c r="C14" s="46" t="n"/>
      <c r="D14" s="380" t="n"/>
      <c r="E14" s="45" t="n"/>
      <c r="F14" s="383" t="n"/>
      <c r="G14" s="383" t="n"/>
      <c r="H14" s="50" t="n"/>
    </row>
    <row r="15" ht="20.1" customHeight="1" s="372">
      <c r="A15" s="76" t="n"/>
      <c r="B15" s="45" t="n"/>
      <c r="C15" s="53" t="n"/>
      <c r="D15" s="54" t="n"/>
      <c r="E15" s="45" t="n"/>
      <c r="F15" s="69" t="n"/>
      <c r="G15" s="69" t="n"/>
      <c r="H15" s="50" t="n"/>
    </row>
    <row r="16" ht="20.1" customHeight="1" s="372">
      <c r="A16" s="76" t="n"/>
      <c r="B16" s="45" t="n"/>
      <c r="C16" s="46" t="n"/>
      <c r="D16" s="70" t="n"/>
      <c r="E16" s="61" t="n"/>
      <c r="F16" s="70" t="n"/>
      <c r="G16" s="70" t="n"/>
      <c r="H16" s="50" t="n"/>
    </row>
    <row r="17" ht="20.1" customHeight="1" s="372">
      <c r="A17" s="76" t="n"/>
      <c r="B17" s="45" t="n"/>
      <c r="C17" s="46" t="n"/>
      <c r="D17" s="384" t="n"/>
      <c r="E17" s="62" t="n"/>
      <c r="F17" s="385" t="n"/>
      <c r="G17" s="385" t="n"/>
      <c r="H17" s="50" t="n"/>
    </row>
    <row r="18" ht="20.1" customHeight="1" s="372">
      <c r="A18" s="76" t="n"/>
      <c r="B18" s="45" t="n"/>
      <c r="C18" s="53" t="n"/>
      <c r="D18" s="73" t="n"/>
      <c r="E18" s="62" t="n"/>
      <c r="F18" s="55" t="n"/>
      <c r="G18" s="55" t="n"/>
      <c r="H18" s="50" t="n"/>
    </row>
    <row r="19" ht="20.1" customHeight="1" s="372">
      <c r="A19" s="76" t="n"/>
      <c r="B19" s="62" t="n"/>
      <c r="C19" s="46" t="n"/>
      <c r="D19" s="380" t="n"/>
      <c r="E19" s="61" t="n"/>
      <c r="F19" s="380" t="n"/>
      <c r="G19" s="380" t="n"/>
      <c r="H19" s="50" t="n"/>
    </row>
    <row r="20" ht="20.1" customHeight="1" s="372">
      <c r="A20" s="76" t="n"/>
      <c r="B20" s="62" t="n"/>
      <c r="C20" s="53" t="n"/>
      <c r="D20" s="54" t="n"/>
      <c r="E20" s="62" t="n"/>
      <c r="F20" s="55" t="n"/>
      <c r="G20" s="69" t="n"/>
      <c r="H20" s="50" t="n"/>
    </row>
    <row r="21" ht="20.1" customHeight="1" s="372">
      <c r="A21" s="76" t="n"/>
      <c r="B21" s="45" t="n"/>
      <c r="C21" s="46" t="n"/>
      <c r="D21" s="70" t="n"/>
      <c r="E21" s="61" t="n"/>
      <c r="F21" s="386" t="n"/>
      <c r="G21" s="386" t="n"/>
      <c r="H21" s="50" t="n"/>
    </row>
    <row r="22" ht="20.1" customHeight="1" s="372">
      <c r="A22" s="76" t="n"/>
      <c r="B22" s="62" t="n"/>
      <c r="C22" s="46" t="n"/>
      <c r="D22" s="384" t="n"/>
      <c r="E22" s="62" t="n"/>
      <c r="F22" s="387" t="n"/>
      <c r="G22" s="387" t="n"/>
      <c r="H22" s="50" t="n"/>
    </row>
    <row r="23" ht="20.1" customHeight="1" s="372">
      <c r="A23" s="77" t="n"/>
      <c r="B23" s="78" t="n"/>
      <c r="C23" s="78" t="n"/>
      <c r="D23" s="79" t="n"/>
      <c r="E23" s="78" t="n"/>
      <c r="F23" s="80" t="n"/>
      <c r="G23" s="80" t="n"/>
      <c r="H23" s="81" t="n"/>
    </row>
  </sheetData>
  <printOptions horizontalCentered="1"/>
  <pageMargins left="0.25" right="0.25" top="0.75" bottom="0.75" header="0.3" footer="0.3"/>
  <pageSetup orientation="landscape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3"/>
  <sheetViews>
    <sheetView showGridLines="0" zoomScaleNormal="100" workbookViewId="0">
      <selection activeCell="O23" sqref="O23"/>
    </sheetView>
  </sheetViews>
  <sheetFormatPr baseColWidth="8" defaultColWidth="4.125" defaultRowHeight="20.1" customHeight="1"/>
  <cols>
    <col width="5.625" customWidth="1" style="361" min="1" max="1"/>
    <col width="10.625" customWidth="1" style="361" min="2" max="2"/>
    <col width="12.625" customWidth="1" style="361" min="3" max="3"/>
    <col width="10.625" customWidth="1" style="361" min="4" max="5"/>
    <col width="25.375" customWidth="1" style="361" min="6" max="6"/>
    <col width="15.625" customWidth="1" style="361" min="7" max="7"/>
    <col width="10.625" customWidth="1" style="361" min="8" max="8"/>
    <col width="8.625" customWidth="1" style="361" min="9" max="9"/>
    <col width="17.875" customWidth="1" style="361" min="10" max="10"/>
    <col width="5.625" customWidth="1" style="361" min="11" max="11"/>
    <col width="10.625" customWidth="1" style="361" min="12" max="12"/>
    <col width="19.625" customWidth="1" style="361" min="13" max="13"/>
    <col width="23.625" customWidth="1" style="361" min="14" max="14"/>
    <col width="22.75" customWidth="1" style="361" min="15" max="15"/>
    <col width="8.625" customWidth="1" style="361" min="16" max="16"/>
    <col width="10.625" customWidth="1" style="361" min="17" max="17"/>
    <col width="8.625" customWidth="1" style="361" min="18" max="18"/>
    <col width="19.625" customWidth="1" style="361" min="19" max="19"/>
    <col width="4.125" customWidth="1" style="361" min="20" max="16384"/>
  </cols>
  <sheetData>
    <row r="1" ht="20.1" customHeight="1" s="372">
      <c r="A1" s="12" t="inlineStr">
        <is>
          <t>Part Ⅰ-6. 부적합 및 시정조치</t>
        </is>
      </c>
      <c r="J1" s="258" t="n"/>
      <c r="K1" s="12" t="n"/>
    </row>
    <row r="2" ht="20.1" customHeight="1" s="372">
      <c r="A2" s="12" t="n"/>
      <c r="K2" s="361" t="inlineStr">
        <is>
          <t>2) 시정조치</t>
        </is>
      </c>
    </row>
    <row r="3" ht="20.1" customHeight="1" s="372">
      <c r="A3" s="361" t="inlineStr">
        <is>
          <t>1) 부적합</t>
        </is>
      </c>
      <c r="K3" s="3" t="inlineStr">
        <is>
          <t>No</t>
        </is>
      </c>
      <c r="L3" s="308" t="inlineStr">
        <is>
          <t>프로세스</t>
        </is>
      </c>
      <c r="M3" s="308" t="inlineStr">
        <is>
          <t>시정조치 이슈</t>
        </is>
      </c>
      <c r="N3" s="308" t="inlineStr">
        <is>
          <t>시정조치내용</t>
        </is>
      </c>
      <c r="O3" s="308" t="inlineStr">
        <is>
          <t>조치 성과</t>
        </is>
      </c>
      <c r="P3" s="308" t="inlineStr">
        <is>
          <t>성과</t>
        </is>
      </c>
      <c r="Q3" s="308" t="inlineStr">
        <is>
          <t>부서/담당자</t>
        </is>
      </c>
      <c r="R3" s="308" t="inlineStr">
        <is>
          <t>조치일</t>
        </is>
      </c>
      <c r="S3" s="5" t="inlineStr">
        <is>
          <t>후속조치/유효성검증</t>
        </is>
      </c>
    </row>
    <row r="4" ht="20.1" customHeight="1" s="372">
      <c r="A4" s="3" t="inlineStr">
        <is>
          <t>No</t>
        </is>
      </c>
      <c r="B4" s="308" t="inlineStr">
        <is>
          <t>공정/발생</t>
        </is>
      </c>
      <c r="C4" s="308" t="inlineStr">
        <is>
          <t>품목</t>
        </is>
      </c>
      <c r="D4" s="308" t="inlineStr">
        <is>
          <t>불량수/로트</t>
        </is>
      </c>
      <c r="E4" s="308" t="inlineStr">
        <is>
          <t>불량율</t>
        </is>
      </c>
      <c r="F4" s="308" t="inlineStr">
        <is>
          <t>원인</t>
        </is>
      </c>
      <c r="G4" s="308" t="inlineStr">
        <is>
          <t>조치내용</t>
        </is>
      </c>
      <c r="H4" s="308" t="inlineStr">
        <is>
          <t>부서/담당자</t>
        </is>
      </c>
      <c r="I4" s="308" t="inlineStr">
        <is>
          <t>조치일</t>
        </is>
      </c>
      <c r="J4" s="5" t="inlineStr">
        <is>
          <t>후속조치</t>
        </is>
      </c>
      <c r="K4" s="345" t="n"/>
      <c r="L4" s="17" t="n"/>
      <c r="M4" s="304" t="n"/>
      <c r="N4" s="304" t="n"/>
      <c r="O4" s="17" t="n"/>
      <c r="P4" s="17" t="n"/>
      <c r="Q4" s="17" t="n"/>
      <c r="R4" s="17" t="n"/>
      <c r="S4" s="36" t="n"/>
    </row>
    <row r="5" ht="20.1" customHeight="1" s="372">
      <c r="A5" s="345" t="n"/>
      <c r="B5" s="17" t="n"/>
      <c r="C5" s="17" t="n"/>
      <c r="D5" s="17" t="n"/>
      <c r="E5" s="17" t="n"/>
      <c r="F5" s="304" t="n"/>
      <c r="G5" s="304" t="n"/>
      <c r="H5" s="17" t="n"/>
      <c r="I5" s="17" t="n"/>
      <c r="J5" s="36" t="n"/>
      <c r="K5" s="37" t="n"/>
      <c r="L5" s="22" t="n"/>
      <c r="M5" s="302" t="n"/>
      <c r="N5" s="302" t="n"/>
      <c r="O5" s="22" t="n"/>
      <c r="P5" s="22" t="n"/>
      <c r="Q5" s="22" t="n"/>
      <c r="R5" s="22" t="n"/>
      <c r="S5" s="39" t="n"/>
    </row>
    <row r="6" ht="20.1" customHeight="1" s="372">
      <c r="A6" s="37" t="n"/>
      <c r="B6" s="22" t="n"/>
      <c r="C6" s="22" t="n"/>
      <c r="D6" s="22" t="n"/>
      <c r="E6" s="22" t="n"/>
      <c r="F6" s="302" t="n"/>
      <c r="G6" s="302" t="n"/>
      <c r="H6" s="22" t="n"/>
      <c r="I6" s="22" t="n"/>
      <c r="J6" s="39" t="n"/>
      <c r="K6" s="37" t="n"/>
      <c r="L6" s="22" t="n"/>
      <c r="M6" s="302" t="n"/>
      <c r="N6" s="302" t="n"/>
      <c r="O6" s="22" t="n"/>
      <c r="P6" s="22" t="n"/>
      <c r="Q6" s="22" t="n"/>
      <c r="R6" s="22" t="n"/>
      <c r="S6" s="39" t="n"/>
    </row>
    <row r="7" ht="20.1" customHeight="1" s="372">
      <c r="A7" s="37" t="n"/>
      <c r="B7" s="22" t="n"/>
      <c r="C7" s="22" t="n"/>
      <c r="D7" s="22" t="n"/>
      <c r="E7" s="22" t="n"/>
      <c r="F7" s="302" t="n"/>
      <c r="G7" s="302" t="n"/>
      <c r="H7" s="22" t="n"/>
      <c r="I7" s="22" t="n"/>
      <c r="J7" s="39" t="n"/>
      <c r="K7" s="37" t="n"/>
      <c r="L7" s="22" t="n"/>
      <c r="M7" s="302" t="n"/>
      <c r="N7" s="302" t="n"/>
      <c r="O7" s="22" t="n"/>
      <c r="P7" s="22" t="n"/>
      <c r="Q7" s="22" t="n"/>
      <c r="R7" s="22" t="n"/>
      <c r="S7" s="39" t="n"/>
    </row>
    <row r="8" ht="20.1" customHeight="1" s="372">
      <c r="A8" s="37" t="n"/>
      <c r="B8" s="22" t="n"/>
      <c r="C8" s="22" t="n"/>
      <c r="D8" s="22" t="n"/>
      <c r="E8" s="22" t="n"/>
      <c r="F8" s="302" t="n"/>
      <c r="G8" s="302" t="n"/>
      <c r="H8" s="22" t="n"/>
      <c r="I8" s="22" t="n"/>
      <c r="J8" s="39" t="n"/>
      <c r="K8" s="37" t="n"/>
      <c r="L8" s="22" t="n"/>
      <c r="M8" s="302" t="n"/>
      <c r="N8" s="302" t="n"/>
      <c r="O8" s="22" t="n"/>
      <c r="P8" s="22" t="n"/>
      <c r="Q8" s="22" t="n"/>
      <c r="R8" s="22" t="n"/>
      <c r="S8" s="39" t="n"/>
    </row>
    <row r="9" ht="20.1" customHeight="1" s="372">
      <c r="A9" s="37" t="n"/>
      <c r="B9" s="22" t="n"/>
      <c r="C9" s="22" t="n"/>
      <c r="D9" s="22" t="n"/>
      <c r="E9" s="22" t="n"/>
      <c r="F9" s="302" t="n"/>
      <c r="G9" s="302" t="n"/>
      <c r="H9" s="22" t="n"/>
      <c r="I9" s="22" t="n"/>
      <c r="J9" s="39" t="n"/>
      <c r="K9" s="37" t="n"/>
      <c r="L9" s="22" t="n"/>
      <c r="M9" s="302" t="n"/>
      <c r="N9" s="302" t="n"/>
      <c r="O9" s="22" t="n"/>
      <c r="P9" s="22" t="n"/>
      <c r="Q9" s="22" t="n"/>
      <c r="R9" s="22" t="n"/>
      <c r="S9" s="39" t="n"/>
    </row>
    <row r="10" ht="20.1" customHeight="1" s="372">
      <c r="A10" s="37" t="n"/>
      <c r="B10" s="22" t="n"/>
      <c r="C10" s="22" t="n"/>
      <c r="D10" s="22" t="n"/>
      <c r="E10" s="22" t="n"/>
      <c r="F10" s="302" t="n"/>
      <c r="G10" s="302" t="n"/>
      <c r="H10" s="22" t="n"/>
      <c r="I10" s="22" t="n"/>
      <c r="J10" s="39" t="n"/>
      <c r="K10" s="37" t="n"/>
      <c r="L10" s="22" t="n"/>
      <c r="M10" s="302" t="n"/>
      <c r="N10" s="302" t="n"/>
      <c r="O10" s="22" t="n"/>
      <c r="P10" s="22" t="n"/>
      <c r="Q10" s="22" t="n"/>
      <c r="R10" s="22" t="n"/>
      <c r="S10" s="39" t="n"/>
    </row>
    <row r="11" ht="20.1" customHeight="1" s="372">
      <c r="A11" s="37" t="n"/>
      <c r="B11" s="22" t="n"/>
      <c r="C11" s="22" t="n"/>
      <c r="D11" s="22" t="n"/>
      <c r="E11" s="22" t="n"/>
      <c r="F11" s="302" t="n"/>
      <c r="G11" s="302" t="n"/>
      <c r="H11" s="22" t="n"/>
      <c r="I11" s="22" t="n"/>
      <c r="J11" s="39" t="n"/>
      <c r="K11" s="37" t="n"/>
      <c r="L11" s="22" t="n"/>
      <c r="M11" s="302" t="n"/>
      <c r="N11" s="302" t="n"/>
      <c r="O11" s="22" t="n"/>
      <c r="P11" s="22" t="n"/>
      <c r="Q11" s="22" t="n"/>
      <c r="R11" s="22" t="n"/>
      <c r="S11" s="39" t="n"/>
    </row>
    <row r="12" ht="20.1" customHeight="1" s="372">
      <c r="A12" s="37" t="n"/>
      <c r="B12" s="22" t="n"/>
      <c r="C12" s="22" t="n"/>
      <c r="D12" s="22" t="n"/>
      <c r="E12" s="22" t="n"/>
      <c r="F12" s="302" t="n"/>
      <c r="G12" s="302" t="n"/>
      <c r="H12" s="22" t="n"/>
      <c r="I12" s="22" t="n"/>
      <c r="J12" s="39" t="n"/>
      <c r="K12" s="37" t="n"/>
      <c r="L12" s="22" t="n"/>
      <c r="M12" s="302" t="n"/>
      <c r="N12" s="302" t="n"/>
      <c r="O12" s="22" t="n"/>
      <c r="P12" s="22" t="n"/>
      <c r="Q12" s="22" t="n"/>
      <c r="R12" s="22" t="n"/>
      <c r="S12" s="39" t="n"/>
    </row>
    <row r="13" ht="20.1" customHeight="1" s="372">
      <c r="A13" s="37" t="n"/>
      <c r="B13" s="22" t="n"/>
      <c r="C13" s="22" t="n"/>
      <c r="D13" s="22" t="n"/>
      <c r="E13" s="22" t="n"/>
      <c r="F13" s="302" t="n"/>
      <c r="G13" s="302" t="n"/>
      <c r="H13" s="22" t="n"/>
      <c r="I13" s="22" t="n"/>
      <c r="J13" s="39" t="n"/>
      <c r="K13" s="37" t="n"/>
      <c r="L13" s="22" t="n"/>
      <c r="M13" s="302" t="n"/>
      <c r="N13" s="302" t="n"/>
      <c r="O13" s="22" t="n"/>
      <c r="P13" s="22" t="n"/>
      <c r="Q13" s="22" t="n"/>
      <c r="R13" s="22" t="n"/>
      <c r="S13" s="39" t="n"/>
    </row>
    <row r="14" ht="20.1" customHeight="1" s="372">
      <c r="A14" s="37" t="n"/>
      <c r="B14" s="22" t="n"/>
      <c r="C14" s="22" t="n"/>
      <c r="D14" s="22" t="n"/>
      <c r="E14" s="22" t="n"/>
      <c r="F14" s="302" t="n"/>
      <c r="G14" s="302" t="n"/>
      <c r="H14" s="22" t="n"/>
      <c r="I14" s="22" t="n"/>
      <c r="J14" s="39" t="n"/>
      <c r="K14" s="37" t="n"/>
      <c r="L14" s="22" t="n"/>
      <c r="M14" s="302" t="n"/>
      <c r="N14" s="302" t="n"/>
      <c r="O14" s="22" t="n"/>
      <c r="P14" s="22" t="n"/>
      <c r="Q14" s="22" t="n"/>
      <c r="R14" s="22" t="n"/>
      <c r="S14" s="39" t="n"/>
    </row>
    <row r="15" ht="20.1" customHeight="1" s="372">
      <c r="A15" s="37" t="n"/>
      <c r="B15" s="22" t="n"/>
      <c r="C15" s="22" t="n"/>
      <c r="D15" s="22" t="n"/>
      <c r="E15" s="22" t="n"/>
      <c r="F15" s="302" t="n"/>
      <c r="G15" s="302" t="n"/>
      <c r="H15" s="22" t="n"/>
      <c r="I15" s="22" t="n"/>
      <c r="J15" s="39" t="n"/>
      <c r="K15" s="37" t="n"/>
      <c r="L15" s="22" t="n"/>
      <c r="M15" s="302" t="n"/>
      <c r="N15" s="302" t="n"/>
      <c r="O15" s="22" t="n"/>
      <c r="P15" s="22" t="n"/>
      <c r="Q15" s="22" t="n"/>
      <c r="R15" s="22" t="n"/>
      <c r="S15" s="39" t="n"/>
    </row>
    <row r="16" ht="20.1" customHeight="1" s="372">
      <c r="A16" s="37" t="n"/>
      <c r="B16" s="22" t="n"/>
      <c r="C16" s="22" t="n"/>
      <c r="D16" s="22" t="n"/>
      <c r="E16" s="22" t="n"/>
      <c r="F16" s="302" t="n"/>
      <c r="G16" s="302" t="n"/>
      <c r="H16" s="22" t="n"/>
      <c r="I16" s="22" t="n"/>
      <c r="J16" s="39" t="n"/>
      <c r="K16" s="37" t="n"/>
      <c r="L16" s="22" t="n"/>
      <c r="M16" s="302" t="n"/>
      <c r="N16" s="302" t="n"/>
      <c r="O16" s="22" t="n"/>
      <c r="P16" s="22" t="n"/>
      <c r="Q16" s="22" t="n"/>
      <c r="R16" s="22" t="n"/>
      <c r="S16" s="39" t="n"/>
    </row>
    <row r="17" ht="20.1" customHeight="1" s="372">
      <c r="A17" s="37" t="n"/>
      <c r="B17" s="22" t="n"/>
      <c r="C17" s="22" t="n"/>
      <c r="D17" s="22" t="n"/>
      <c r="E17" s="22" t="n"/>
      <c r="F17" s="302" t="n"/>
      <c r="G17" s="302" t="n"/>
      <c r="H17" s="22" t="n"/>
      <c r="I17" s="22" t="n"/>
      <c r="J17" s="39" t="n"/>
      <c r="K17" s="37" t="n"/>
      <c r="L17" s="22" t="n"/>
      <c r="M17" s="302" t="n"/>
      <c r="N17" s="302" t="n"/>
      <c r="O17" s="22" t="n"/>
      <c r="P17" s="22" t="n"/>
      <c r="Q17" s="22" t="n"/>
      <c r="R17" s="22" t="n"/>
      <c r="S17" s="39" t="n"/>
    </row>
    <row r="18" ht="20.1" customHeight="1" s="372">
      <c r="A18" s="37" t="n"/>
      <c r="B18" s="22" t="n"/>
      <c r="C18" s="22" t="n"/>
      <c r="D18" s="22" t="n"/>
      <c r="E18" s="22" t="n"/>
      <c r="F18" s="302" t="n"/>
      <c r="G18" s="302" t="n"/>
      <c r="H18" s="22" t="n"/>
      <c r="I18" s="22" t="n"/>
      <c r="J18" s="39" t="n"/>
      <c r="K18" s="37" t="n"/>
      <c r="L18" s="22" t="n"/>
      <c r="M18" s="302" t="n"/>
      <c r="N18" s="302" t="n"/>
      <c r="O18" s="22" t="n"/>
      <c r="P18" s="22" t="n"/>
      <c r="Q18" s="22" t="n"/>
      <c r="R18" s="22" t="n"/>
      <c r="S18" s="39" t="n"/>
    </row>
    <row r="19" ht="20.1" customHeight="1" s="372">
      <c r="A19" s="37" t="n"/>
      <c r="B19" s="22" t="n"/>
      <c r="C19" s="22" t="n"/>
      <c r="D19" s="22" t="n"/>
      <c r="E19" s="22" t="n"/>
      <c r="F19" s="302" t="n"/>
      <c r="G19" s="302" t="n"/>
      <c r="H19" s="22" t="n"/>
      <c r="I19" s="22" t="n"/>
      <c r="J19" s="39" t="n"/>
      <c r="K19" s="37" t="n"/>
      <c r="L19" s="22" t="n"/>
      <c r="M19" s="302" t="n"/>
      <c r="N19" s="302" t="n"/>
      <c r="O19" s="22" t="n"/>
      <c r="P19" s="22" t="n"/>
      <c r="Q19" s="22" t="n"/>
      <c r="R19" s="22" t="n"/>
      <c r="S19" s="39" t="n"/>
    </row>
    <row r="20" ht="20.1" customHeight="1" s="372">
      <c r="A20" s="37" t="n"/>
      <c r="B20" s="22" t="n"/>
      <c r="C20" s="22" t="n"/>
      <c r="D20" s="22" t="n"/>
      <c r="E20" s="22" t="n"/>
      <c r="F20" s="302" t="n"/>
      <c r="G20" s="302" t="n"/>
      <c r="H20" s="22" t="n"/>
      <c r="I20" s="22" t="n"/>
      <c r="J20" s="39" t="n"/>
      <c r="K20" s="37" t="n"/>
      <c r="L20" s="22" t="n"/>
      <c r="M20" s="302" t="n"/>
      <c r="N20" s="302" t="n"/>
      <c r="O20" s="22" t="n"/>
      <c r="P20" s="22" t="n"/>
      <c r="Q20" s="22" t="n"/>
      <c r="R20" s="22" t="n"/>
      <c r="S20" s="39" t="n"/>
    </row>
    <row r="21" ht="20.1" customHeight="1" s="372">
      <c r="A21" s="37" t="n"/>
      <c r="B21" s="22" t="n"/>
      <c r="C21" s="22" t="n"/>
      <c r="D21" s="22" t="n"/>
      <c r="E21" s="22" t="n"/>
      <c r="F21" s="302" t="n"/>
      <c r="G21" s="302" t="n"/>
      <c r="H21" s="22" t="n"/>
      <c r="I21" s="22" t="n"/>
      <c r="J21" s="39" t="n"/>
      <c r="K21" s="37" t="n"/>
      <c r="L21" s="22" t="n"/>
      <c r="M21" s="302" t="n"/>
      <c r="N21" s="302" t="n"/>
      <c r="O21" s="22" t="n"/>
      <c r="P21" s="22" t="n"/>
      <c r="Q21" s="22" t="n"/>
      <c r="R21" s="22" t="n"/>
      <c r="S21" s="39" t="n"/>
    </row>
    <row r="22" ht="20.1" customHeight="1" s="372">
      <c r="A22" s="37" t="n"/>
      <c r="B22" s="22" t="n"/>
      <c r="C22" s="22" t="n"/>
      <c r="D22" s="22" t="n"/>
      <c r="E22" s="22" t="n"/>
      <c r="F22" s="302" t="n"/>
      <c r="G22" s="302" t="n"/>
      <c r="H22" s="22" t="n"/>
      <c r="I22" s="22" t="n"/>
      <c r="J22" s="39" t="n"/>
      <c r="K22" s="37" t="n"/>
      <c r="L22" s="22" t="n"/>
      <c r="M22" s="302" t="n"/>
      <c r="N22" s="302" t="n"/>
      <c r="O22" s="22" t="n"/>
      <c r="P22" s="22" t="n"/>
      <c r="Q22" s="22" t="n"/>
      <c r="R22" s="22" t="n"/>
      <c r="S22" s="39" t="n"/>
    </row>
    <row r="23" ht="30" customHeight="1" s="372">
      <c r="A23" s="216" t="n"/>
      <c r="B23" s="41" t="inlineStr">
        <is>
          <t>부적합(불량) 발생공정</t>
        </is>
      </c>
      <c r="C23" s="41" t="inlineStr">
        <is>
          <t>불량 발생 제품명</t>
        </is>
      </c>
      <c r="D23" s="41" t="inlineStr">
        <is>
          <t>부적합-부적합수/LOT 사이즈</t>
        </is>
      </c>
      <c r="E23" s="41" t="inlineStr">
        <is>
          <t>불량율</t>
        </is>
      </c>
      <c r="F23" s="41" t="inlineStr">
        <is>
          <t>불량발생원인</t>
        </is>
      </c>
      <c r="G23" s="41" t="inlineStr">
        <is>
          <t>부적합 조치 내용: 재작업, 수리, 특채, 폐기 기준으로 기록</t>
        </is>
      </c>
      <c r="H23" s="41" t="inlineStr">
        <is>
          <t>부적합처리 담당부서/담당자</t>
        </is>
      </c>
      <c r="I23" s="41" t="inlineStr">
        <is>
          <t>조치완료일</t>
        </is>
      </c>
      <c r="J23" s="89" t="inlineStr">
        <is>
          <t>표준화, 공정개선, 리스크전환 등의 후속조치 기록</t>
        </is>
      </c>
      <c r="K23" s="216" t="n"/>
      <c r="L23" s="41" t="inlineStr">
        <is>
          <t>부적합 발생 프로세스, 공정, 사외, 고객 등 기록</t>
        </is>
      </c>
      <c r="M23" s="41" t="inlineStr">
        <is>
          <t>시정조치 필요 원인(목표 미달, 추진 일정 지연, 성과/자원부족 등)</t>
        </is>
      </c>
      <c r="N23" s="41" t="inlineStr">
        <is>
          <t>원인에 대한 조치 내역
(시정조치 투입 자원, 비용 등 요약 포함)</t>
        </is>
      </c>
      <c r="O23" s="41" t="inlineStr">
        <is>
          <t>시정조치 성과 요약</t>
        </is>
      </c>
      <c r="P23" s="41" t="inlineStr">
        <is>
          <t>조치 성과를 계량치로</t>
        </is>
      </c>
      <c r="Q23" s="41" t="inlineStr">
        <is>
          <t>조치 담당자</t>
        </is>
      </c>
      <c r="R23" s="41" t="inlineStr">
        <is>
          <t>조치 완료일 - 진행 중인 경우 예정일</t>
        </is>
      </c>
      <c r="S23" s="89" t="inlineStr">
        <is>
          <t>시정조치에도 불구하고 리스크로 전환하여 관리할지 여부, 유사 공정 확장 적용 여부 등</t>
        </is>
      </c>
    </row>
  </sheetData>
  <printOptions horizontalCentered="1"/>
  <pageMargins left="0.25" right="0.25" top="0.75" bottom="0.75" header="0.3" footer="0.3"/>
  <pageSetup orientation="landscape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zoomScaleNormal="100" workbookViewId="0">
      <selection activeCell="C10" sqref="C10"/>
    </sheetView>
  </sheetViews>
  <sheetFormatPr baseColWidth="8" defaultColWidth="6.75" defaultRowHeight="20.1" customHeight="1"/>
  <cols>
    <col width="10.625" customWidth="1" style="361" min="1" max="1"/>
    <col width="20.625" customWidth="1" style="361" min="2" max="3"/>
    <col width="10.625" customWidth="1" style="361" min="4" max="4"/>
    <col width="20.625" customWidth="1" style="361" min="5" max="5"/>
    <col width="25.625" customWidth="1" style="361" min="6" max="6"/>
    <col width="15.625" customWidth="1" style="361" min="7" max="7"/>
    <col width="7.625" customWidth="1" style="361" min="8" max="15"/>
    <col width="9.625" customWidth="1" style="361" min="16" max="16"/>
    <col width="6.75" customWidth="1" style="361" min="17" max="16384"/>
  </cols>
  <sheetData>
    <row r="1" ht="24.95" customHeight="1" s="372">
      <c r="A1" s="12" t="inlineStr">
        <is>
          <t>Part Ⅰ-7. 모니터링 및 측정성과</t>
        </is>
      </c>
    </row>
    <row r="2"/>
    <row r="3" ht="20.1" customHeight="1" s="372">
      <c r="A3" s="3" t="inlineStr">
        <is>
          <t>대상</t>
        </is>
      </c>
      <c r="B3" s="308" t="inlineStr">
        <is>
          <t>측정/모니터링 활동명</t>
        </is>
      </c>
      <c r="C3" s="308" t="inlineStr">
        <is>
          <t>제품/품목</t>
        </is>
      </c>
      <c r="D3" s="308" t="inlineStr">
        <is>
          <t>주요지표</t>
        </is>
      </c>
      <c r="E3" s="308" t="inlineStr">
        <is>
          <t>지표 지표개선 상황</t>
        </is>
      </c>
      <c r="F3" s="308" t="inlineStr">
        <is>
          <t>모니터링 / 측정성과 / 개선활동 내역</t>
        </is>
      </c>
      <c r="G3" s="5" t="inlineStr">
        <is>
          <t>비고</t>
        </is>
      </c>
    </row>
    <row r="4" ht="20.1" customHeight="1" s="372">
      <c r="A4" s="37" t="n"/>
      <c r="B4" s="22" t="n"/>
      <c r="C4" s="22" t="n"/>
      <c r="D4" s="22" t="n"/>
      <c r="E4" s="21" t="n"/>
      <c r="F4" s="21" t="n"/>
      <c r="G4" s="30" t="n"/>
    </row>
    <row r="5" ht="20.1" customHeight="1" s="372">
      <c r="A5" s="137" t="inlineStr">
        <is>
          <t>제품</t>
        </is>
      </c>
      <c r="B5" s="138" t="inlineStr">
        <is>
          <t>제품검사</t>
        </is>
      </c>
      <c r="C5" s="138" t="n"/>
      <c r="D5" s="138" t="inlineStr">
        <is>
          <t>불량율</t>
        </is>
      </c>
      <c r="E5" s="139" t="inlineStr">
        <is>
          <t>불량율 0.7%감소</t>
        </is>
      </c>
      <c r="F5" s="139" t="inlineStr">
        <is>
          <t>불량 개선</t>
        </is>
      </c>
      <c r="G5" s="141" t="n"/>
    </row>
    <row r="6" ht="20.1" customHeight="1" s="372">
      <c r="A6" s="37" t="n"/>
      <c r="B6" s="22" t="n"/>
      <c r="C6" s="22" t="n"/>
      <c r="D6" s="22" t="n"/>
      <c r="E6" s="21" t="n"/>
      <c r="F6" s="21" t="n"/>
      <c r="G6" s="30" t="n"/>
    </row>
    <row r="7" ht="20.1" customHeight="1" s="372">
      <c r="A7" s="37" t="n"/>
      <c r="B7" s="22" t="n"/>
      <c r="C7" s="22" t="n"/>
      <c r="D7" s="22" t="n"/>
      <c r="E7" s="21" t="n"/>
      <c r="F7" s="21" t="n"/>
      <c r="G7" s="30" t="n"/>
    </row>
    <row r="8" ht="20.1" customHeight="1" s="372">
      <c r="A8" s="37" t="n"/>
      <c r="B8" s="22" t="n"/>
      <c r="C8" s="22" t="n"/>
      <c r="D8" s="22" t="n"/>
      <c r="E8" s="21" t="n"/>
      <c r="F8" s="21" t="n"/>
      <c r="G8" s="30" t="n"/>
    </row>
    <row r="9" ht="20.1" customHeight="1" s="372">
      <c r="A9" s="37" t="n"/>
      <c r="B9" s="22" t="n"/>
      <c r="C9" s="22" t="n"/>
      <c r="D9" s="22" t="n"/>
      <c r="E9" s="21" t="n"/>
      <c r="F9" s="21" t="n"/>
      <c r="G9" s="30" t="n"/>
    </row>
    <row r="10" ht="20.1" customHeight="1" s="372">
      <c r="A10" s="37" t="n"/>
      <c r="B10" s="22" t="n"/>
      <c r="C10" s="22" t="n"/>
      <c r="D10" s="22" t="n"/>
      <c r="E10" s="21" t="n"/>
      <c r="F10" s="21" t="n"/>
      <c r="G10" s="30" t="n"/>
    </row>
    <row r="11" ht="20.1" customHeight="1" s="372">
      <c r="A11" s="37" t="n"/>
      <c r="B11" s="22" t="n"/>
      <c r="C11" s="22" t="n"/>
      <c r="D11" s="22" t="n"/>
      <c r="E11" s="21" t="n"/>
      <c r="F11" s="21" t="n"/>
      <c r="G11" s="30" t="n"/>
    </row>
    <row r="12" ht="20.1" customHeight="1" s="372">
      <c r="A12" s="37" t="n"/>
      <c r="B12" s="22" t="n"/>
      <c r="C12" s="22" t="n"/>
      <c r="D12" s="22" t="n"/>
      <c r="E12" s="21" t="n"/>
      <c r="F12" s="21" t="n"/>
      <c r="G12" s="30" t="n"/>
    </row>
    <row r="13" ht="20.1" customHeight="1" s="372">
      <c r="A13" s="37" t="n"/>
      <c r="B13" s="22" t="n"/>
      <c r="C13" s="22" t="n"/>
      <c r="D13" s="22" t="n"/>
      <c r="E13" s="21" t="n"/>
      <c r="F13" s="21" t="n"/>
      <c r="G13" s="30" t="n"/>
    </row>
    <row r="14" ht="20.1" customHeight="1" s="372">
      <c r="A14" s="37" t="n"/>
      <c r="B14" s="22" t="n"/>
      <c r="C14" s="22" t="n"/>
      <c r="D14" s="22" t="n"/>
      <c r="E14" s="21" t="n"/>
      <c r="F14" s="21" t="n"/>
      <c r="G14" s="30" t="n"/>
    </row>
    <row r="15" ht="20.1" customHeight="1" s="372">
      <c r="A15" s="37" t="n"/>
      <c r="B15" s="22" t="n"/>
      <c r="C15" s="22" t="n"/>
      <c r="D15" s="22" t="n"/>
      <c r="E15" s="21" t="n"/>
      <c r="F15" s="21" t="n"/>
      <c r="G15" s="30" t="n"/>
    </row>
    <row r="16" ht="20.1" customHeight="1" s="372">
      <c r="A16" s="37" t="n"/>
      <c r="B16" s="22" t="n"/>
      <c r="C16" s="22" t="n"/>
      <c r="D16" s="22" t="n"/>
      <c r="E16" s="21" t="n"/>
      <c r="F16" s="21" t="n"/>
      <c r="G16" s="30" t="n"/>
    </row>
    <row r="17" ht="20.1" customHeight="1" s="372">
      <c r="A17" s="37" t="n"/>
      <c r="B17" s="22" t="n"/>
      <c r="C17" s="22" t="n"/>
      <c r="D17" s="22" t="n"/>
      <c r="E17" s="21" t="n"/>
      <c r="F17" s="21" t="n"/>
      <c r="G17" s="30" t="n"/>
    </row>
    <row r="18" ht="20.1" customHeight="1" s="372">
      <c r="A18" s="37" t="n"/>
      <c r="B18" s="22" t="n"/>
      <c r="C18" s="22" t="n"/>
      <c r="D18" s="22" t="n"/>
      <c r="E18" s="21" t="n"/>
      <c r="F18" s="21" t="n"/>
      <c r="G18" s="30" t="n"/>
    </row>
    <row r="19" ht="20.1" customHeight="1" s="372">
      <c r="A19" s="37" t="n"/>
      <c r="B19" s="22" t="n"/>
      <c r="C19" s="22" t="n"/>
      <c r="D19" s="22" t="n"/>
      <c r="E19" s="21" t="n"/>
      <c r="F19" s="21" t="n"/>
      <c r="G19" s="30" t="n"/>
    </row>
    <row r="20" ht="20.1" customHeight="1" s="372">
      <c r="A20" s="37" t="n"/>
      <c r="B20" s="22" t="n"/>
      <c r="C20" s="22" t="n"/>
      <c r="D20" s="22" t="n"/>
      <c r="E20" s="21" t="n"/>
      <c r="F20" s="21" t="n"/>
      <c r="G20" s="30" t="n"/>
    </row>
    <row r="21" ht="20.1" customHeight="1" s="372">
      <c r="A21" s="37" t="n"/>
      <c r="B21" s="22" t="n"/>
      <c r="C21" s="22" t="n"/>
      <c r="D21" s="22" t="n"/>
      <c r="E21" s="21" t="n"/>
      <c r="F21" s="21" t="n"/>
      <c r="G21" s="30" t="n"/>
    </row>
    <row r="22" ht="20.1" customHeight="1" s="372">
      <c r="A22" s="37" t="n"/>
      <c r="B22" s="22" t="n"/>
      <c r="C22" s="22" t="n"/>
      <c r="D22" s="22" t="n"/>
      <c r="E22" s="21" t="n"/>
      <c r="F22" s="21" t="n"/>
      <c r="G22" s="30" t="n"/>
    </row>
    <row r="23" ht="20.1" customHeight="1" s="372">
      <c r="A23" s="102" t="n"/>
      <c r="B23" s="103" t="n"/>
      <c r="C23" s="103" t="n"/>
      <c r="D23" s="103" t="n"/>
      <c r="E23" s="143" t="n"/>
      <c r="F23" s="143" t="n"/>
      <c r="G23" s="105" t="n"/>
    </row>
  </sheetData>
  <printOptions horizontalCentered="1"/>
  <pageMargins left="0.25" right="0.25" top="0.75" bottom="0.75" header="0.3" footer="0.3"/>
  <pageSetup orientation="landscape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zoomScaleNormal="100" workbookViewId="0">
      <selection activeCell="O21" sqref="O21"/>
    </sheetView>
  </sheetViews>
  <sheetFormatPr baseColWidth="8" defaultColWidth="9.5" defaultRowHeight="20.1" customHeight="1"/>
  <cols>
    <col width="10.625" customWidth="1" style="361" min="1" max="1"/>
    <col width="15.625" customWidth="1" style="361" min="2" max="2"/>
    <col width="10.625" customWidth="1" style="361" min="3" max="3"/>
    <col width="25.625" customWidth="1" style="361" min="4" max="4"/>
    <col width="10.625" customWidth="1" style="361" min="5" max="5"/>
    <col width="20.625" customWidth="1" style="361" min="6" max="6"/>
    <col width="10.625" customWidth="1" style="361" min="7" max="7"/>
    <col width="20.625" customWidth="1" style="361" min="8" max="8"/>
    <col width="4.625" customWidth="1" style="361" min="9" max="11"/>
    <col width="5.125" customWidth="1" style="361" min="12" max="231"/>
    <col width="9.5" customWidth="1" style="361" min="232" max="16384"/>
  </cols>
  <sheetData>
    <row r="1" ht="20.1" customHeight="1" s="372">
      <c r="A1" s="12" t="inlineStr">
        <is>
          <t>Part Ⅰ-8. 내/외부 심사 결과</t>
        </is>
      </c>
    </row>
    <row r="2"/>
    <row r="3" ht="20.1" customHeight="1" s="372">
      <c r="A3" s="361" t="inlineStr">
        <is>
          <t>1) 내부심사 결과</t>
        </is>
      </c>
    </row>
    <row r="4" ht="20.1" customHeight="1" s="372">
      <c r="A4" s="305" t="inlineStr">
        <is>
          <t>시행일 :</t>
        </is>
      </c>
      <c r="B4" s="388" t="n"/>
      <c r="C4" s="306" t="inlineStr">
        <is>
          <t>내부심사원 :</t>
        </is>
      </c>
      <c r="D4" s="388" t="n"/>
      <c r="E4" s="306" t="inlineStr">
        <is>
          <t>심사공정 : (당해년도 내부심사 대상 공정명)</t>
        </is>
      </c>
      <c r="F4" s="388" t="n"/>
      <c r="G4" s="306" t="inlineStr">
        <is>
          <t>심사제품 : (당해년도 내부심사 대상 제품명)</t>
        </is>
      </c>
      <c r="H4" s="388" t="n"/>
    </row>
    <row r="5" ht="20.1" customHeight="1" s="372">
      <c r="A5" s="3" t="inlineStr">
        <is>
          <t>심사구분</t>
        </is>
      </c>
      <c r="B5" s="308" t="inlineStr">
        <is>
          <t>심사부서</t>
        </is>
      </c>
      <c r="C5" s="308" t="inlineStr">
        <is>
          <t>부적합내용</t>
        </is>
      </c>
      <c r="D5" s="389" t="n"/>
      <c r="E5" s="308" t="inlineStr">
        <is>
          <t>조치사항</t>
        </is>
      </c>
      <c r="F5" s="389" t="n"/>
      <c r="G5" s="308" t="inlineStr">
        <is>
          <t>완료일자</t>
        </is>
      </c>
      <c r="H5" s="5" t="inlineStr">
        <is>
          <t>유효성 검증 내용</t>
        </is>
      </c>
    </row>
    <row r="6" ht="20.1" customHeight="1" s="372">
      <c r="A6" s="345" t="n"/>
      <c r="B6" s="17" t="n"/>
      <c r="C6" s="304" t="n"/>
      <c r="D6" s="390" t="n"/>
      <c r="E6" s="304" t="n"/>
      <c r="F6" s="390" t="n"/>
      <c r="G6" s="17" t="n"/>
      <c r="H6" s="36" t="n"/>
    </row>
    <row r="7" ht="20.1" customHeight="1" s="372">
      <c r="A7" s="37" t="n"/>
      <c r="B7" s="22" t="n"/>
      <c r="C7" s="302" t="n"/>
      <c r="D7" s="391" t="n"/>
      <c r="E7" s="302" t="n"/>
      <c r="F7" s="391" t="n"/>
      <c r="G7" s="22" t="n"/>
      <c r="H7" s="39" t="n"/>
    </row>
    <row r="8" ht="20.1" customHeight="1" s="372">
      <c r="A8" s="37" t="n"/>
      <c r="B8" s="22" t="n"/>
      <c r="C8" s="302" t="n"/>
      <c r="D8" s="391" t="n"/>
      <c r="E8" s="302" t="n"/>
      <c r="F8" s="391" t="n"/>
      <c r="G8" s="22" t="n"/>
      <c r="H8" s="39" t="n"/>
    </row>
    <row r="9" ht="20.1" customHeight="1" s="372">
      <c r="A9" s="37" t="n"/>
      <c r="B9" s="22" t="n"/>
      <c r="C9" s="302" t="n"/>
      <c r="D9" s="391" t="n"/>
      <c r="E9" s="302" t="n"/>
      <c r="F9" s="391" t="n"/>
      <c r="G9" s="22" t="n"/>
      <c r="H9" s="39" t="n"/>
    </row>
    <row r="10" ht="20.1" customHeight="1" s="372">
      <c r="A10" s="37" t="n"/>
      <c r="B10" s="22" t="n"/>
      <c r="C10" s="302" t="n"/>
      <c r="D10" s="391" t="n"/>
      <c r="E10" s="302" t="n"/>
      <c r="F10" s="391" t="n"/>
      <c r="G10" s="22" t="n"/>
      <c r="H10" s="39" t="n"/>
    </row>
    <row r="11" ht="20.1" customHeight="1" s="372">
      <c r="A11" s="37" t="n"/>
      <c r="B11" s="22" t="n"/>
      <c r="C11" s="302" t="n"/>
      <c r="D11" s="391" t="n"/>
      <c r="E11" s="302" t="n"/>
      <c r="F11" s="391" t="n"/>
      <c r="G11" s="22" t="n"/>
      <c r="H11" s="39" t="n"/>
    </row>
    <row r="12" ht="20.1" customHeight="1" s="372">
      <c r="A12" s="102" t="n"/>
      <c r="B12" s="103" t="n"/>
      <c r="C12" s="303" t="n"/>
      <c r="D12" s="392" t="n"/>
      <c r="E12" s="303" t="n"/>
      <c r="F12" s="392" t="n"/>
      <c r="G12" s="103" t="n"/>
      <c r="H12" s="233" t="n"/>
    </row>
    <row r="13"/>
    <row r="14" ht="20.1" customHeight="1" s="372">
      <c r="A14" s="219" t="inlineStr">
        <is>
          <t>2) 외부심사 결과</t>
        </is>
      </c>
      <c r="B14" s="220" t="n"/>
      <c r="C14" s="220" t="n"/>
      <c r="D14" s="221" t="n"/>
      <c r="E14" s="222" t="n"/>
      <c r="F14" s="222" t="n"/>
      <c r="G14" s="220" t="n"/>
      <c r="H14" s="220" t="n"/>
    </row>
    <row r="15" ht="20.1" customHeight="1" s="372">
      <c r="A15" s="227" t="inlineStr">
        <is>
          <t>심사구분</t>
        </is>
      </c>
      <c r="B15" s="229" t="inlineStr">
        <is>
          <t>심사기관</t>
        </is>
      </c>
      <c r="C15" s="229" t="inlineStr">
        <is>
          <t>심사일정</t>
        </is>
      </c>
      <c r="D15" s="223" t="inlineStr">
        <is>
          <t>부적합내용</t>
        </is>
      </c>
      <c r="E15" s="223" t="inlineStr">
        <is>
          <t>주무부서</t>
        </is>
      </c>
      <c r="F15" s="223" t="inlineStr">
        <is>
          <t>시정조치 내용 요약</t>
        </is>
      </c>
      <c r="G15" s="229" t="inlineStr">
        <is>
          <t>완료일자</t>
        </is>
      </c>
      <c r="H15" s="234" t="inlineStr">
        <is>
          <t>유효성 검증 내용</t>
        </is>
      </c>
    </row>
    <row r="16" ht="20.1" customHeight="1" s="372">
      <c r="A16" s="228" t="n"/>
      <c r="B16" s="230" t="n"/>
      <c r="C16" s="230" t="n"/>
      <c r="D16" s="224" t="n"/>
      <c r="E16" s="224" t="n"/>
      <c r="F16" s="224" t="n"/>
      <c r="G16" s="230" t="n"/>
      <c r="H16" s="235" t="n"/>
    </row>
    <row r="17" ht="20.1" customHeight="1" s="372">
      <c r="A17" s="226" t="n"/>
      <c r="B17" s="231" t="n"/>
      <c r="C17" s="231" t="n"/>
      <c r="D17" s="225" t="n"/>
      <c r="E17" s="225" t="n"/>
      <c r="F17" s="225" t="n"/>
      <c r="G17" s="231" t="n"/>
      <c r="H17" s="236" t="n"/>
    </row>
    <row r="18" ht="20.1" customHeight="1" s="372">
      <c r="A18" s="226" t="n"/>
      <c r="B18" s="231" t="n"/>
      <c r="C18" s="231" t="n"/>
      <c r="D18" s="225" t="n"/>
      <c r="E18" s="225" t="n"/>
      <c r="F18" s="225" t="n"/>
      <c r="G18" s="231" t="n"/>
      <c r="H18" s="236" t="n"/>
    </row>
    <row r="19" ht="20.1" customHeight="1" s="372">
      <c r="A19" s="226" t="n"/>
      <c r="B19" s="231" t="n"/>
      <c r="C19" s="231" t="n"/>
      <c r="D19" s="225" t="n"/>
      <c r="E19" s="225" t="n"/>
      <c r="F19" s="225" t="n"/>
      <c r="G19" s="231" t="n"/>
      <c r="H19" s="236" t="n"/>
    </row>
    <row r="20" ht="20.1" customHeight="1" s="372">
      <c r="A20" s="226" t="n"/>
      <c r="B20" s="231" t="n"/>
      <c r="C20" s="231" t="n"/>
      <c r="D20" s="225" t="n"/>
      <c r="E20" s="225" t="n"/>
      <c r="F20" s="225" t="n"/>
      <c r="G20" s="231" t="n"/>
      <c r="H20" s="236" t="n"/>
    </row>
    <row r="21" ht="20.1" customHeight="1" s="372">
      <c r="A21" s="226" t="n"/>
      <c r="B21" s="231" t="n"/>
      <c r="C21" s="231" t="n"/>
      <c r="D21" s="225" t="n"/>
      <c r="E21" s="225" t="n"/>
      <c r="F21" s="225" t="n"/>
      <c r="G21" s="231" t="n"/>
      <c r="H21" s="236" t="n"/>
    </row>
    <row r="22" ht="20.1" customHeight="1" s="372">
      <c r="A22" s="226" t="n"/>
      <c r="B22" s="231" t="n"/>
      <c r="C22" s="231" t="n"/>
      <c r="D22" s="225" t="n"/>
      <c r="E22" s="225" t="n"/>
      <c r="F22" s="225" t="n"/>
      <c r="G22" s="231" t="n"/>
      <c r="H22" s="236" t="n"/>
    </row>
    <row r="23" ht="20.1" customHeight="1" s="372">
      <c r="A23" s="226" t="n"/>
      <c r="B23" s="231" t="n"/>
      <c r="C23" s="231" t="n"/>
      <c r="D23" s="225" t="n"/>
      <c r="E23" s="225" t="n"/>
      <c r="F23" s="225" t="n"/>
      <c r="G23" s="231" t="n"/>
      <c r="H23" s="236" t="n"/>
    </row>
    <row r="24" ht="20.1" customHeight="1" s="372">
      <c r="A24" s="226" t="n"/>
      <c r="B24" s="231" t="n"/>
      <c r="C24" s="231" t="n"/>
      <c r="D24" s="225" t="n"/>
      <c r="E24" s="225" t="n"/>
      <c r="F24" s="225" t="n"/>
      <c r="G24" s="231" t="n"/>
      <c r="H24" s="236" t="n"/>
    </row>
    <row r="25" ht="20.1" customHeight="1" s="372">
      <c r="A25" s="239" t="n"/>
      <c r="B25" s="232" t="n"/>
      <c r="C25" s="232" t="n"/>
      <c r="D25" s="237" t="n"/>
      <c r="E25" s="237" t="n"/>
      <c r="F25" s="237" t="n"/>
      <c r="G25" s="232" t="n"/>
      <c r="H25" s="238" t="n"/>
    </row>
  </sheetData>
  <mergeCells count="20">
    <mergeCell ref="E12:F12"/>
    <mergeCell ref="C6:D6"/>
    <mergeCell ref="C5:D5"/>
    <mergeCell ref="E5:F5"/>
    <mergeCell ref="E8:F8"/>
    <mergeCell ref="C4:D4"/>
    <mergeCell ref="E4:F4"/>
    <mergeCell ref="C10:D10"/>
    <mergeCell ref="E10:F10"/>
    <mergeCell ref="C9:D9"/>
    <mergeCell ref="E9:F9"/>
    <mergeCell ref="C12:D12"/>
    <mergeCell ref="E6:F6"/>
    <mergeCell ref="C11:D11"/>
    <mergeCell ref="E11:F11"/>
    <mergeCell ref="C8:D8"/>
    <mergeCell ref="A4:B4"/>
    <mergeCell ref="G4:H4"/>
    <mergeCell ref="C7:D7"/>
    <mergeCell ref="E7:F7"/>
  </mergeCells>
  <printOptions horizontalCentered="1"/>
  <pageMargins left="0.5118110236220472" right="0.5118110236220472" top="0.7874015748031497" bottom="0.3937007874015748" header="0" footer="0.1181102362204724"/>
  <pageSetup orientation="landscape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zoomScaleNormal="100" workbookViewId="0">
      <selection activeCell="C20" sqref="C20"/>
    </sheetView>
  </sheetViews>
  <sheetFormatPr baseColWidth="8" defaultColWidth="3.875" defaultRowHeight="20.1" customHeight="1"/>
  <cols>
    <col width="5.625" customWidth="1" style="361" min="1" max="1"/>
    <col width="15.625" customWidth="1" style="361" min="2" max="3"/>
    <col width="20.625" customWidth="1" style="361" min="4" max="4"/>
    <col width="23" customWidth="1" style="361" min="5" max="5"/>
    <col width="27.625" customWidth="1" style="361" min="6" max="6"/>
    <col width="20.625" customWidth="1" style="361" min="7" max="7"/>
    <col width="3.875" customWidth="1" style="361" min="8" max="16384"/>
  </cols>
  <sheetData>
    <row r="1" ht="20.1" customHeight="1" s="372">
      <c r="A1" s="12" t="inlineStr">
        <is>
          <t>Part Ⅰ-9. 외부공급자 성과</t>
        </is>
      </c>
      <c r="B1" s="12" t="n"/>
      <c r="C1" s="12" t="n"/>
    </row>
    <row r="2"/>
    <row r="3" ht="20.1" customHeight="1" s="372">
      <c r="A3" s="3" t="inlineStr">
        <is>
          <t>No.</t>
        </is>
      </c>
      <c r="B3" s="308" t="inlineStr">
        <is>
          <t>관리기간/일정</t>
        </is>
      </c>
      <c r="C3" s="308" t="inlineStr">
        <is>
          <t>관리업체명</t>
        </is>
      </c>
      <c r="D3" s="308" t="inlineStr">
        <is>
          <t>관리평가내역</t>
        </is>
      </c>
      <c r="E3" s="308" t="inlineStr">
        <is>
          <t>주요조치/개선사항</t>
        </is>
      </c>
      <c r="F3" s="308" t="inlineStr">
        <is>
          <t>개선성과</t>
        </is>
      </c>
      <c r="G3" s="5" t="inlineStr">
        <is>
          <t>전년대비 개선사항</t>
        </is>
      </c>
    </row>
    <row r="4" ht="20.1" customHeight="1" s="372">
      <c r="A4" s="20" t="n"/>
      <c r="B4" s="21" t="n"/>
      <c r="C4" s="21" t="n"/>
      <c r="D4" s="21" t="n"/>
      <c r="E4" s="21" t="n"/>
      <c r="F4" s="21" t="n"/>
      <c r="G4" s="30" t="n"/>
    </row>
    <row r="5" ht="20.1" customHeight="1" s="372">
      <c r="A5" s="20" t="n"/>
      <c r="B5" s="21" t="n"/>
      <c r="C5" s="21" t="n"/>
      <c r="D5" s="21" t="n"/>
      <c r="E5" s="21" t="n"/>
      <c r="F5" s="21" t="n"/>
      <c r="G5" s="30" t="n"/>
    </row>
    <row r="6" ht="20.1" customHeight="1" s="372">
      <c r="A6" s="20" t="n"/>
      <c r="B6" s="21" t="n"/>
      <c r="C6" s="21" t="n"/>
      <c r="D6" s="21" t="n"/>
      <c r="E6" s="21" t="n"/>
      <c r="F6" s="21" t="n"/>
      <c r="G6" s="30" t="n"/>
    </row>
    <row r="7" ht="20.1" customHeight="1" s="372">
      <c r="A7" s="20" t="n"/>
      <c r="B7" s="21" t="n"/>
      <c r="C7" s="21" t="n"/>
      <c r="D7" s="21" t="n"/>
      <c r="E7" s="21" t="n"/>
      <c r="F7" s="21" t="n"/>
      <c r="G7" s="30" t="n"/>
    </row>
    <row r="8" ht="20.1" customHeight="1" s="372">
      <c r="A8" s="20" t="n"/>
      <c r="B8" s="21" t="n"/>
      <c r="C8" s="21" t="n"/>
      <c r="D8" s="21" t="n"/>
      <c r="E8" s="21" t="n"/>
      <c r="F8" s="21" t="n"/>
      <c r="G8" s="30" t="n"/>
    </row>
    <row r="9" ht="20.1" customHeight="1" s="372">
      <c r="A9" s="20" t="n"/>
      <c r="B9" s="21" t="n"/>
      <c r="C9" s="21" t="n"/>
      <c r="D9" s="21" t="n"/>
      <c r="E9" s="21" t="n"/>
      <c r="F9" s="21" t="n"/>
      <c r="G9" s="30" t="n"/>
    </row>
    <row r="10" ht="20.1" customHeight="1" s="372">
      <c r="A10" s="20" t="n"/>
      <c r="B10" s="21" t="n"/>
      <c r="C10" s="21" t="n"/>
      <c r="D10" s="21" t="n"/>
      <c r="E10" s="21" t="n"/>
      <c r="F10" s="21" t="n"/>
      <c r="G10" s="30" t="n"/>
    </row>
    <row r="11" ht="20.1" customHeight="1" s="372">
      <c r="A11" s="20" t="n"/>
      <c r="B11" s="21" t="n"/>
      <c r="C11" s="21" t="n"/>
      <c r="D11" s="21" t="n"/>
      <c r="E11" s="21" t="n"/>
      <c r="F11" s="21" t="n"/>
      <c r="G11" s="30" t="n"/>
    </row>
    <row r="12" ht="20.1" customHeight="1" s="372">
      <c r="A12" s="20" t="n"/>
      <c r="B12" s="21" t="n"/>
      <c r="C12" s="21" t="n"/>
      <c r="D12" s="21" t="n"/>
      <c r="E12" s="21" t="n"/>
      <c r="F12" s="21" t="n"/>
      <c r="G12" s="30" t="n"/>
    </row>
    <row r="13" ht="20.1" customHeight="1" s="372">
      <c r="A13" s="20" t="n"/>
      <c r="B13" s="21" t="n"/>
      <c r="C13" s="21" t="n"/>
      <c r="D13" s="21" t="n"/>
      <c r="E13" s="21" t="n"/>
      <c r="F13" s="21" t="n"/>
      <c r="G13" s="30" t="n"/>
    </row>
    <row r="14" ht="20.1" customHeight="1" s="372">
      <c r="A14" s="20" t="n"/>
      <c r="B14" s="21" t="n"/>
      <c r="C14" s="21" t="n"/>
      <c r="D14" s="21" t="n"/>
      <c r="E14" s="21" t="n"/>
      <c r="F14" s="21" t="n"/>
      <c r="G14" s="30" t="n"/>
    </row>
    <row r="15" ht="20.1" customHeight="1" s="372">
      <c r="A15" s="20" t="n"/>
      <c r="B15" s="21" t="n"/>
      <c r="C15" s="21" t="n"/>
      <c r="D15" s="21" t="n"/>
      <c r="E15" s="21" t="n"/>
      <c r="F15" s="21" t="n"/>
      <c r="G15" s="30" t="n"/>
    </row>
    <row r="16" ht="20.1" customHeight="1" s="372">
      <c r="A16" s="20" t="n"/>
      <c r="B16" s="21" t="n"/>
      <c r="C16" s="21" t="n"/>
      <c r="D16" s="21" t="n"/>
      <c r="E16" s="21" t="n"/>
      <c r="F16" s="21" t="n"/>
      <c r="G16" s="30" t="n"/>
    </row>
    <row r="17" ht="20.1" customHeight="1" s="372">
      <c r="A17" s="20" t="n"/>
      <c r="B17" s="21" t="n"/>
      <c r="C17" s="21" t="n"/>
      <c r="D17" s="21" t="n"/>
      <c r="E17" s="21" t="n"/>
      <c r="F17" s="21" t="n"/>
      <c r="G17" s="30" t="n"/>
    </row>
    <row r="18" ht="20.1" customHeight="1" s="372">
      <c r="A18" s="20" t="n"/>
      <c r="B18" s="21" t="n"/>
      <c r="C18" s="21" t="n"/>
      <c r="D18" s="21" t="n"/>
      <c r="E18" s="21" t="n"/>
      <c r="F18" s="21" t="n"/>
      <c r="G18" s="30" t="n"/>
    </row>
    <row r="19" ht="20.1" customHeight="1" s="372">
      <c r="A19" s="20" t="n"/>
      <c r="B19" s="21" t="n"/>
      <c r="C19" s="21" t="n"/>
      <c r="D19" s="21" t="n"/>
      <c r="E19" s="21" t="n"/>
      <c r="F19" s="21" t="n"/>
      <c r="G19" s="30" t="n"/>
    </row>
    <row r="20" ht="20.1" customHeight="1" s="372">
      <c r="A20" s="20" t="n"/>
      <c r="B20" s="21" t="n"/>
      <c r="C20" s="21" t="n"/>
      <c r="D20" s="21" t="n"/>
      <c r="E20" s="21" t="n"/>
      <c r="F20" s="21" t="n"/>
      <c r="G20" s="30" t="n"/>
    </row>
    <row r="21" ht="20.1" customHeight="1" s="372">
      <c r="A21" s="20" t="n"/>
      <c r="B21" s="21" t="n"/>
      <c r="C21" s="21" t="n"/>
      <c r="D21" s="21" t="n"/>
      <c r="E21" s="21" t="n"/>
      <c r="F21" s="21" t="n"/>
      <c r="G21" s="30" t="n"/>
    </row>
    <row r="22" ht="20.1" customHeight="1" s="372">
      <c r="A22" s="20" t="n"/>
      <c r="B22" s="21" t="n"/>
      <c r="C22" s="21" t="n"/>
      <c r="D22" s="21" t="n"/>
      <c r="E22" s="21" t="n"/>
      <c r="F22" s="21" t="n"/>
      <c r="G22" s="30" t="n"/>
    </row>
    <row r="23" ht="20.1" customHeight="1" s="372">
      <c r="A23" s="218" t="n"/>
      <c r="B23" s="143" t="n"/>
      <c r="C23" s="143" t="n"/>
      <c r="D23" s="143" t="n"/>
      <c r="E23" s="143" t="n"/>
      <c r="F23" s="143" t="n"/>
      <c r="G23" s="105" t="n"/>
    </row>
  </sheetData>
  <printOptions horizontalCentered="1"/>
  <pageMargins left="0.25" right="0.25" top="0.75" bottom="0.75" header="0.3" footer="0.3"/>
  <pageSetup orientation="landscape" paperSize="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0" workbookViewId="0">
      <selection activeCell="F18" sqref="F18"/>
    </sheetView>
  </sheetViews>
  <sheetFormatPr baseColWidth="8" defaultRowHeight="20.1" customHeight="1"/>
  <cols>
    <col width="10.625" customWidth="1" style="372" min="1" max="1"/>
    <col width="10.625" customWidth="1" style="372" min="3" max="5"/>
    <col width="12.625" customWidth="1" style="372" min="6" max="6"/>
    <col width="29.625" customWidth="1" style="372" min="7" max="7"/>
    <col width="21.125" customWidth="1" style="372" min="8" max="8"/>
    <col width="12.625" customWidth="1" style="372" min="9" max="9"/>
  </cols>
  <sheetData>
    <row r="1" ht="20.1" customHeight="1" s="372">
      <c r="A1" s="12" t="inlineStr">
        <is>
          <t>Part Ⅰ-10. 자원의 충족성</t>
        </is>
      </c>
      <c r="B1" s="361" t="n"/>
      <c r="C1" s="361" t="n"/>
      <c r="D1" s="361" t="n"/>
      <c r="E1" s="361" t="n"/>
      <c r="F1" s="361" t="n"/>
      <c r="G1" s="361" t="n"/>
      <c r="H1" s="361" t="n"/>
      <c r="I1" s="361" t="n"/>
    </row>
    <row r="2" ht="20.1" customHeight="1" s="372">
      <c r="A2" s="361" t="n"/>
      <c r="B2" s="361" t="n"/>
      <c r="C2" s="361" t="n"/>
      <c r="D2" s="361" t="n"/>
      <c r="E2" s="361" t="n"/>
      <c r="F2" s="361" t="n"/>
      <c r="G2" s="361" t="n"/>
      <c r="H2" s="361" t="n"/>
      <c r="I2" s="361" t="n"/>
    </row>
    <row r="3" ht="20.1" customHeight="1" s="372">
      <c r="A3" s="3" t="inlineStr">
        <is>
          <t>구분</t>
        </is>
      </c>
      <c r="B3" s="308" t="inlineStr">
        <is>
          <t>항목</t>
        </is>
      </c>
      <c r="C3" s="308" t="inlineStr">
        <is>
          <t>필요/목표</t>
        </is>
      </c>
      <c r="D3" s="308" t="inlineStr">
        <is>
          <t>기간/일정</t>
        </is>
      </c>
      <c r="E3" s="308" t="inlineStr">
        <is>
          <t>보유/사용</t>
        </is>
      </c>
      <c r="F3" s="308" t="inlineStr">
        <is>
          <t>과부족</t>
        </is>
      </c>
      <c r="G3" s="308" t="inlineStr">
        <is>
          <t>과부족조치계획(일정포함)</t>
        </is>
      </c>
      <c r="H3" s="308" t="inlineStr">
        <is>
          <t>시행 성과/결과</t>
        </is>
      </c>
      <c r="I3" s="5" t="inlineStr">
        <is>
          <t>특기사항</t>
        </is>
      </c>
    </row>
    <row r="4" ht="20.1" customHeight="1" s="372">
      <c r="A4" s="15" t="n"/>
      <c r="B4" s="16" t="n"/>
      <c r="C4" s="16" t="n"/>
      <c r="D4" s="16" t="n"/>
      <c r="E4" s="16" t="n"/>
      <c r="F4" s="16" t="n"/>
      <c r="G4" s="16" t="n"/>
      <c r="H4" s="16" t="n"/>
      <c r="I4" s="29" t="n"/>
    </row>
    <row r="5" ht="20.1" customHeight="1" s="372">
      <c r="A5" s="20" t="n"/>
      <c r="B5" s="21" t="n"/>
      <c r="C5" s="21" t="n"/>
      <c r="D5" s="21" t="n"/>
      <c r="E5" s="21" t="n"/>
      <c r="F5" s="21" t="n"/>
      <c r="G5" s="21" t="n"/>
      <c r="H5" s="21" t="n"/>
      <c r="I5" s="30" t="n"/>
    </row>
    <row r="6" ht="20.1" customHeight="1" s="372">
      <c r="A6" s="20" t="n"/>
      <c r="B6" s="21" t="n"/>
      <c r="C6" s="21" t="n"/>
      <c r="D6" s="21" t="n"/>
      <c r="E6" s="21" t="n"/>
      <c r="F6" s="21" t="n"/>
      <c r="G6" s="21" t="n"/>
      <c r="H6" s="21" t="n"/>
      <c r="I6" s="30" t="n"/>
    </row>
    <row r="7" ht="20.1" customHeight="1" s="372">
      <c r="A7" s="20" t="n"/>
      <c r="B7" s="21" t="n"/>
      <c r="C7" s="21" t="n"/>
      <c r="D7" s="21" t="n"/>
      <c r="E7" s="21" t="n"/>
      <c r="F7" s="21" t="n"/>
      <c r="G7" s="21" t="n"/>
      <c r="H7" s="21" t="n"/>
      <c r="I7" s="30" t="n"/>
    </row>
    <row r="8" ht="20.1" customHeight="1" s="372">
      <c r="A8" s="20" t="n"/>
      <c r="B8" s="21" t="n"/>
      <c r="C8" s="21" t="n"/>
      <c r="D8" s="21" t="n"/>
      <c r="E8" s="21" t="n"/>
      <c r="F8" s="21" t="n"/>
      <c r="G8" s="21" t="n"/>
      <c r="H8" s="21" t="n"/>
      <c r="I8" s="30" t="n"/>
    </row>
    <row r="9" ht="20.1" customHeight="1" s="372">
      <c r="A9" s="20" t="n"/>
      <c r="B9" s="21" t="n"/>
      <c r="C9" s="21" t="n"/>
      <c r="D9" s="21" t="n"/>
      <c r="E9" s="21" t="n"/>
      <c r="F9" s="21" t="n"/>
      <c r="G9" s="21" t="n"/>
      <c r="H9" s="21" t="n"/>
      <c r="I9" s="30" t="n"/>
    </row>
    <row r="10" ht="20.1" customHeight="1" s="372">
      <c r="A10" s="20" t="n"/>
      <c r="B10" s="21" t="n"/>
      <c r="C10" s="21" t="n"/>
      <c r="D10" s="21" t="n"/>
      <c r="E10" s="21" t="n"/>
      <c r="F10" s="21" t="n"/>
      <c r="G10" s="21" t="n"/>
      <c r="H10" s="21" t="n"/>
      <c r="I10" s="30" t="n"/>
    </row>
    <row r="11" ht="20.1" customHeight="1" s="372">
      <c r="A11" s="20" t="n"/>
      <c r="B11" s="21" t="n"/>
      <c r="C11" s="21" t="n"/>
      <c r="D11" s="21" t="n"/>
      <c r="E11" s="21" t="n"/>
      <c r="F11" s="21" t="n"/>
      <c r="G11" s="21" t="n"/>
      <c r="H11" s="21" t="n"/>
      <c r="I11" s="30" t="n"/>
    </row>
    <row r="12" ht="20.1" customHeight="1" s="372">
      <c r="A12" s="20" t="n"/>
      <c r="B12" s="21" t="n"/>
      <c r="C12" s="21" t="n"/>
      <c r="D12" s="21" t="n"/>
      <c r="E12" s="21" t="n"/>
      <c r="F12" s="21" t="n"/>
      <c r="G12" s="21" t="n"/>
      <c r="H12" s="21" t="n"/>
      <c r="I12" s="30" t="n"/>
    </row>
    <row r="13" ht="20.1" customHeight="1" s="372">
      <c r="A13" s="20" t="n"/>
      <c r="B13" s="21" t="n"/>
      <c r="C13" s="21" t="n"/>
      <c r="D13" s="21" t="n"/>
      <c r="E13" s="21" t="n"/>
      <c r="F13" s="21" t="n"/>
      <c r="G13" s="21" t="n"/>
      <c r="H13" s="21" t="n"/>
      <c r="I13" s="30" t="n"/>
    </row>
    <row r="14" ht="20.1" customHeight="1" s="372">
      <c r="A14" s="20" t="n"/>
      <c r="B14" s="21" t="n"/>
      <c r="C14" s="21" t="n"/>
      <c r="D14" s="21" t="n"/>
      <c r="E14" s="21" t="n"/>
      <c r="F14" s="21" t="n"/>
      <c r="G14" s="21" t="n"/>
      <c r="H14" s="21" t="n"/>
      <c r="I14" s="30" t="n"/>
    </row>
    <row r="15" ht="20.1" customHeight="1" s="372">
      <c r="A15" s="20" t="n"/>
      <c r="B15" s="21" t="n"/>
      <c r="C15" s="21" t="n"/>
      <c r="D15" s="21" t="n"/>
      <c r="E15" s="21" t="n"/>
      <c r="F15" s="21" t="n"/>
      <c r="G15" s="21" t="n"/>
      <c r="H15" s="21" t="n"/>
      <c r="I15" s="30" t="n"/>
    </row>
    <row r="16" ht="20.1" customHeight="1" s="372">
      <c r="A16" s="20" t="n"/>
      <c r="B16" s="21" t="n"/>
      <c r="C16" s="21" t="n"/>
      <c r="D16" s="21" t="n"/>
      <c r="E16" s="21" t="n"/>
      <c r="F16" s="21" t="n"/>
      <c r="G16" s="21" t="n"/>
      <c r="H16" s="21" t="n"/>
      <c r="I16" s="30" t="n"/>
    </row>
    <row r="17" ht="20.1" customHeight="1" s="372">
      <c r="A17" s="20" t="n"/>
      <c r="B17" s="21" t="n"/>
      <c r="C17" s="21" t="n"/>
      <c r="D17" s="21" t="n"/>
      <c r="E17" s="21" t="n"/>
      <c r="F17" s="21" t="n"/>
      <c r="G17" s="21" t="n"/>
      <c r="H17" s="21" t="n"/>
      <c r="I17" s="30" t="n"/>
    </row>
    <row r="18" ht="20.1" customHeight="1" s="372">
      <c r="A18" s="20" t="n"/>
      <c r="B18" s="21" t="n"/>
      <c r="C18" s="21" t="n"/>
      <c r="D18" s="21" t="n"/>
      <c r="E18" s="21" t="n"/>
      <c r="F18" s="21" t="n"/>
      <c r="G18" s="21" t="n"/>
      <c r="H18" s="21" t="n"/>
      <c r="I18" s="30" t="n"/>
    </row>
    <row r="19" ht="20.1" customHeight="1" s="372">
      <c r="A19" s="20" t="n"/>
      <c r="B19" s="21" t="n"/>
      <c r="C19" s="21" t="n"/>
      <c r="D19" s="21" t="n"/>
      <c r="E19" s="21" t="n"/>
      <c r="F19" s="21" t="n"/>
      <c r="G19" s="21" t="n"/>
      <c r="H19" s="21" t="n"/>
      <c r="I19" s="30" t="n"/>
    </row>
    <row r="20" ht="20.1" customHeight="1" s="372">
      <c r="A20" s="20" t="n"/>
      <c r="B20" s="21" t="n"/>
      <c r="C20" s="21" t="n"/>
      <c r="D20" s="21" t="n"/>
      <c r="E20" s="21" t="n"/>
      <c r="F20" s="21" t="n"/>
      <c r="G20" s="21" t="n"/>
      <c r="H20" s="21" t="n"/>
      <c r="I20" s="30" t="n"/>
    </row>
    <row r="21" ht="20.1" customHeight="1" s="372">
      <c r="A21" s="20" t="n"/>
      <c r="B21" s="21" t="n"/>
      <c r="C21" s="21" t="n"/>
      <c r="D21" s="21" t="n"/>
      <c r="E21" s="21" t="n"/>
      <c r="F21" s="21" t="n"/>
      <c r="G21" s="21" t="n"/>
      <c r="H21" s="21" t="n"/>
      <c r="I21" s="30" t="n"/>
    </row>
    <row r="22" ht="20.1" customHeight="1" s="372">
      <c r="A22" s="20" t="n"/>
      <c r="B22" s="21" t="n"/>
      <c r="C22" s="21" t="n"/>
      <c r="D22" s="21" t="n"/>
      <c r="E22" s="21" t="n"/>
      <c r="F22" s="21" t="n"/>
      <c r="G22" s="21" t="n"/>
      <c r="H22" s="21" t="n"/>
      <c r="I22" s="30" t="n"/>
    </row>
    <row r="23" ht="20.1" customHeight="1" s="372">
      <c r="A23" s="218" t="n"/>
      <c r="B23" s="143" t="n"/>
      <c r="C23" s="143" t="n"/>
      <c r="D23" s="143" t="n"/>
      <c r="E23" s="143" t="n"/>
      <c r="F23" s="143" t="n"/>
      <c r="G23" s="143" t="n"/>
      <c r="H23" s="143" t="n"/>
      <c r="I23" s="105" t="n"/>
    </row>
  </sheetData>
  <pageMargins left="0.25" right="0.25" top="0.75" bottom="0.75" header="0.3" footer="0.3"/>
  <pageSetup orientation="landscape" paperSize="9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zoomScaleNormal="100" workbookViewId="0">
      <selection activeCell="C18" sqref="C18"/>
    </sheetView>
  </sheetViews>
  <sheetFormatPr baseColWidth="8" defaultColWidth="4.125" defaultRowHeight="20.1" customHeight="1"/>
  <cols>
    <col width="4.75" customWidth="1" style="361" min="1" max="1"/>
    <col width="12.625" customWidth="1" style="361" min="2" max="2"/>
    <col width="22.125" customWidth="1" style="361" min="3" max="4"/>
    <col width="10.5" customWidth="1" style="361" min="5" max="5"/>
    <col width="22.125" customWidth="1" style="361" min="6" max="6"/>
    <col width="15.75" customWidth="1" style="361" min="7" max="7"/>
    <col width="18.5" customWidth="1" style="361" min="8" max="8"/>
    <col width="4.125" customWidth="1" style="361" min="9" max="16384"/>
  </cols>
  <sheetData>
    <row r="1" ht="20.1" customHeight="1" s="372">
      <c r="A1" s="12" t="inlineStr">
        <is>
          <t>Part Ⅰ-11. 조치의 효과성(기회와 리스크에 대한 조치의 효과성)</t>
        </is>
      </c>
    </row>
    <row r="2"/>
    <row r="3" ht="20.1" customHeight="1" s="372">
      <c r="A3" s="3" t="inlineStr">
        <is>
          <t>No</t>
        </is>
      </c>
      <c r="B3" s="308" t="inlineStr">
        <is>
          <t>구분/관리번호</t>
        </is>
      </c>
      <c r="C3" s="308" t="inlineStr">
        <is>
          <t>리스크(or 기회) 내용</t>
        </is>
      </c>
      <c r="D3" s="308" t="inlineStr">
        <is>
          <t>조치(관리) 사항</t>
        </is>
      </c>
      <c r="E3" s="308" t="inlineStr">
        <is>
          <t>의도한 목표</t>
        </is>
      </c>
      <c r="F3" s="308" t="inlineStr">
        <is>
          <t>조치 효과(성과)</t>
        </is>
      </c>
      <c r="G3" s="308" t="inlineStr">
        <is>
          <t>일정/담당</t>
        </is>
      </c>
      <c r="H3" s="5" t="inlineStr">
        <is>
          <t>관련증빙/기록</t>
        </is>
      </c>
    </row>
    <row r="4" ht="20.1" customHeight="1" s="372">
      <c r="A4" s="20" t="n"/>
      <c r="B4" s="21" t="n"/>
      <c r="C4" s="21" t="n"/>
      <c r="D4" s="21" t="n"/>
      <c r="E4" s="21" t="n"/>
      <c r="F4" s="21" t="n"/>
      <c r="G4" s="21" t="n"/>
      <c r="H4" s="30" t="n"/>
    </row>
    <row r="5" ht="20.1" customHeight="1" s="372">
      <c r="A5" s="20" t="n"/>
      <c r="B5" s="21" t="n"/>
      <c r="C5" s="21" t="n"/>
      <c r="D5" s="21" t="n"/>
      <c r="E5" s="21" t="n"/>
      <c r="F5" s="21" t="n"/>
      <c r="G5" s="21" t="n"/>
      <c r="H5" s="30" t="n"/>
    </row>
    <row r="6" ht="20.1" customHeight="1" s="372">
      <c r="A6" s="20" t="n"/>
      <c r="B6" s="21" t="n"/>
      <c r="C6" s="21" t="n"/>
      <c r="D6" s="21" t="n"/>
      <c r="E6" s="21" t="n"/>
      <c r="F6" s="21" t="n"/>
      <c r="G6" s="21" t="n"/>
      <c r="H6" s="30" t="n"/>
    </row>
    <row r="7" ht="20.1" customHeight="1" s="372">
      <c r="A7" s="20" t="n"/>
      <c r="B7" s="21" t="n"/>
      <c r="C7" s="21" t="n"/>
      <c r="D7" s="21" t="n"/>
      <c r="E7" s="21" t="n"/>
      <c r="F7" s="21" t="n"/>
      <c r="G7" s="21" t="n"/>
      <c r="H7" s="30" t="n"/>
    </row>
    <row r="8" ht="20.1" customHeight="1" s="372">
      <c r="A8" s="20" t="n"/>
      <c r="B8" s="21" t="n"/>
      <c r="C8" s="21" t="n"/>
      <c r="D8" s="21" t="n"/>
      <c r="E8" s="21" t="n"/>
      <c r="F8" s="21" t="n"/>
      <c r="G8" s="21" t="n"/>
      <c r="H8" s="30" t="n"/>
    </row>
    <row r="9" ht="20.1" customHeight="1" s="372">
      <c r="A9" s="20" t="n"/>
      <c r="B9" s="21" t="n"/>
      <c r="C9" s="21" t="n"/>
      <c r="D9" s="21" t="n"/>
      <c r="E9" s="21" t="n"/>
      <c r="F9" s="21" t="n"/>
      <c r="G9" s="21" t="n"/>
      <c r="H9" s="30" t="n"/>
    </row>
    <row r="10" ht="20.1" customHeight="1" s="372">
      <c r="A10" s="20" t="n"/>
      <c r="B10" s="21" t="n"/>
      <c r="C10" s="21" t="n"/>
      <c r="D10" s="21" t="n"/>
      <c r="E10" s="21" t="n"/>
      <c r="F10" s="21" t="n"/>
      <c r="G10" s="21" t="n"/>
      <c r="H10" s="30" t="n"/>
    </row>
    <row r="11" ht="20.1" customHeight="1" s="372">
      <c r="A11" s="20" t="n"/>
      <c r="B11" s="21" t="n"/>
      <c r="C11" s="21" t="n"/>
      <c r="D11" s="21" t="n"/>
      <c r="E11" s="21" t="n"/>
      <c r="F11" s="21" t="n"/>
      <c r="G11" s="21" t="n"/>
      <c r="H11" s="30" t="n"/>
    </row>
    <row r="12" ht="20.1" customHeight="1" s="372">
      <c r="A12" s="20" t="n"/>
      <c r="B12" s="21" t="n"/>
      <c r="C12" s="21" t="n"/>
      <c r="D12" s="21" t="n"/>
      <c r="E12" s="21" t="n"/>
      <c r="F12" s="21" t="n"/>
      <c r="G12" s="21" t="n"/>
      <c r="H12" s="30" t="n"/>
    </row>
    <row r="13" ht="20.1" customHeight="1" s="372">
      <c r="A13" s="20" t="n"/>
      <c r="B13" s="21" t="n"/>
      <c r="C13" s="21" t="n"/>
      <c r="D13" s="21" t="n"/>
      <c r="E13" s="21" t="n"/>
      <c r="F13" s="21" t="n"/>
      <c r="G13" s="21" t="n"/>
      <c r="H13" s="30" t="n"/>
    </row>
    <row r="14" ht="20.1" customHeight="1" s="372">
      <c r="A14" s="20" t="n"/>
      <c r="B14" s="21" t="n"/>
      <c r="C14" s="21" t="n"/>
      <c r="D14" s="21" t="n"/>
      <c r="E14" s="21" t="n"/>
      <c r="F14" s="21" t="n"/>
      <c r="G14" s="21" t="n"/>
      <c r="H14" s="30" t="n"/>
    </row>
    <row r="15" ht="20.1" customHeight="1" s="372">
      <c r="A15" s="20" t="n"/>
      <c r="B15" s="21" t="n"/>
      <c r="C15" s="21" t="n"/>
      <c r="D15" s="21" t="n"/>
      <c r="E15" s="21" t="n"/>
      <c r="F15" s="21" t="n"/>
      <c r="G15" s="21" t="n"/>
      <c r="H15" s="30" t="n"/>
    </row>
    <row r="16" ht="20.1" customHeight="1" s="372">
      <c r="A16" s="20" t="n"/>
      <c r="B16" s="21" t="n"/>
      <c r="C16" s="21" t="n"/>
      <c r="D16" s="21" t="n"/>
      <c r="E16" s="21" t="n"/>
      <c r="F16" s="21" t="n"/>
      <c r="G16" s="21" t="n"/>
      <c r="H16" s="30" t="n"/>
    </row>
    <row r="17" ht="20.1" customHeight="1" s="372">
      <c r="A17" s="20" t="n"/>
      <c r="B17" s="21" t="n"/>
      <c r="C17" s="21" t="n"/>
      <c r="D17" s="21" t="n"/>
      <c r="E17" s="21" t="n"/>
      <c r="F17" s="21" t="n"/>
      <c r="G17" s="21" t="n"/>
      <c r="H17" s="30" t="n"/>
    </row>
    <row r="18" ht="20.1" customHeight="1" s="372">
      <c r="A18" s="20" t="n"/>
      <c r="B18" s="21" t="n"/>
      <c r="C18" s="21" t="n"/>
      <c r="D18" s="21" t="n"/>
      <c r="E18" s="21" t="n"/>
      <c r="F18" s="21" t="n"/>
      <c r="G18" s="21" t="n"/>
      <c r="H18" s="30" t="n"/>
    </row>
    <row r="19" ht="20.1" customHeight="1" s="372">
      <c r="A19" s="20" t="n"/>
      <c r="B19" s="21" t="n"/>
      <c r="C19" s="21" t="n"/>
      <c r="D19" s="21" t="n"/>
      <c r="E19" s="21" t="n"/>
      <c r="F19" s="21" t="n"/>
      <c r="G19" s="21" t="n"/>
      <c r="H19" s="30" t="n"/>
    </row>
    <row r="20" ht="20.1" customHeight="1" s="372">
      <c r="A20" s="20" t="n"/>
      <c r="B20" s="21" t="n"/>
      <c r="C20" s="21" t="n"/>
      <c r="D20" s="21" t="n"/>
      <c r="E20" s="21" t="n"/>
      <c r="F20" s="21" t="n"/>
      <c r="G20" s="21" t="n"/>
      <c r="H20" s="30" t="n"/>
    </row>
    <row r="21" ht="20.1" customHeight="1" s="372">
      <c r="A21" s="20" t="n"/>
      <c r="B21" s="21" t="n"/>
      <c r="C21" s="21" t="n"/>
      <c r="D21" s="21" t="n"/>
      <c r="E21" s="21" t="n"/>
      <c r="F21" s="21" t="n"/>
      <c r="G21" s="21" t="n"/>
      <c r="H21" s="30" t="n"/>
    </row>
    <row r="22" ht="20.1" customHeight="1" s="372">
      <c r="A22" s="20" t="n"/>
      <c r="B22" s="21" t="n"/>
      <c r="C22" s="21" t="n"/>
      <c r="D22" s="21" t="n"/>
      <c r="E22" s="21" t="n"/>
      <c r="F22" s="21" t="n"/>
      <c r="G22" s="21" t="n"/>
      <c r="H22" s="30" t="n"/>
    </row>
    <row r="23" ht="30" customHeight="1" s="372">
      <c r="A23" s="216" t="n"/>
      <c r="B23" s="41" t="inlineStr">
        <is>
          <t>리스크, 기회 구분명(리스크관리번호가 있는 경우 번호도)</t>
        </is>
      </c>
      <c r="C23" s="41" t="inlineStr">
        <is>
          <t>리스크, 기회의 현황을 알 수 있는 세부사항 기록</t>
        </is>
      </c>
      <c r="D23" s="41" t="inlineStr">
        <is>
          <t>조치활동 내역</t>
        </is>
      </c>
      <c r="E23" s="41" t="inlineStr">
        <is>
          <t>조치, 관리 담당자</t>
        </is>
      </c>
      <c r="F23" s="41" t="inlineStr">
        <is>
          <t>(핵심 사항)조치의 효과 - 비용, 안전 향상, 환경 개선 등의 효과 기록</t>
        </is>
      </c>
      <c r="G23" s="41" t="inlineStr">
        <is>
          <t>조치 시행 기간, 일자</t>
        </is>
      </c>
      <c r="H23" s="89" t="inlineStr">
        <is>
          <t>표준화, 수평전개를 통한 추가 개선 등의 내역 기록</t>
        </is>
      </c>
    </row>
  </sheetData>
  <printOptions horizontalCentered="1"/>
  <pageMargins left="0.25" right="0.25" top="0.75" bottom="0.75" header="0.3" footer="0.3"/>
  <pageSetup orientation="landscape" paperSize="9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zoomScaleNormal="100" workbookViewId="0">
      <selection activeCell="G31" sqref="G31"/>
    </sheetView>
  </sheetViews>
  <sheetFormatPr baseColWidth="8" defaultColWidth="4.125" defaultRowHeight="20.1" customHeight="1"/>
  <cols>
    <col width="3.625" customWidth="1" style="361" min="1" max="1"/>
    <col width="12.625" customWidth="1" style="361" min="2" max="2"/>
    <col width="25.625" customWidth="1" style="361" min="3" max="3"/>
    <col width="12.625" customWidth="1" style="361" min="4" max="5"/>
    <col width="23.75" customWidth="1" style="361" min="6" max="6"/>
    <col width="20.25" customWidth="1" style="361" min="7" max="7"/>
    <col width="19.625" customWidth="1" style="361" min="8" max="8"/>
    <col width="4.125" customWidth="1" style="361" min="9" max="16384"/>
  </cols>
  <sheetData>
    <row r="1" ht="24.95" customHeight="1" s="372">
      <c r="A1" s="12" t="inlineStr">
        <is>
          <t>Part Ⅰ-12. 개선의 기회와 개선내역</t>
        </is>
      </c>
      <c r="H1" s="144" t="n"/>
    </row>
    <row r="2"/>
    <row r="3" ht="20.1" customHeight="1" s="372">
      <c r="A3" s="3" t="inlineStr">
        <is>
          <t>No</t>
        </is>
      </c>
      <c r="B3" s="308" t="inlineStr">
        <is>
          <t>제품/공정명</t>
        </is>
      </c>
      <c r="C3" s="308" t="inlineStr">
        <is>
          <t>문제점(개선사유)</t>
        </is>
      </c>
      <c r="D3" s="213" t="inlineStr">
        <is>
          <t>부서/담당</t>
        </is>
      </c>
      <c r="E3" s="308" t="inlineStr">
        <is>
          <t>개선기간</t>
        </is>
      </c>
      <c r="F3" s="308" t="inlineStr">
        <is>
          <t>개선내역</t>
        </is>
      </c>
      <c r="G3" s="308" t="inlineStr">
        <is>
          <t>비용&amp;(예상)효과</t>
        </is>
      </c>
      <c r="H3" s="214" t="inlineStr">
        <is>
          <t>후속조치</t>
        </is>
      </c>
    </row>
    <row r="4" ht="20.1" customHeight="1" s="372">
      <c r="A4" s="20" t="n"/>
      <c r="B4" s="21" t="n"/>
      <c r="C4" s="21" t="n"/>
      <c r="D4" s="21" t="n"/>
      <c r="E4" s="21" t="n"/>
      <c r="F4" s="21" t="n"/>
      <c r="G4" s="21" t="n"/>
      <c r="H4" s="30" t="n"/>
    </row>
    <row r="5" ht="20.1" customHeight="1" s="372">
      <c r="A5" s="20" t="n"/>
      <c r="B5" s="21" t="n"/>
      <c r="C5" s="21" t="n"/>
      <c r="D5" s="21" t="n"/>
      <c r="E5" s="21" t="n"/>
      <c r="F5" s="21" t="n"/>
      <c r="G5" s="21" t="n"/>
      <c r="H5" s="30" t="n"/>
    </row>
    <row r="6" ht="20.1" customHeight="1" s="372">
      <c r="A6" s="20" t="n"/>
      <c r="B6" s="21" t="n"/>
      <c r="C6" s="21" t="n"/>
      <c r="D6" s="21" t="n"/>
      <c r="E6" s="21" t="n"/>
      <c r="F6" s="21" t="n"/>
      <c r="G6" s="21" t="n"/>
      <c r="H6" s="30" t="n"/>
    </row>
    <row r="7" ht="20.1" customHeight="1" s="372">
      <c r="A7" s="20" t="n"/>
      <c r="B7" s="21" t="n"/>
      <c r="C7" s="21" t="n"/>
      <c r="D7" s="21" t="n"/>
      <c r="E7" s="21" t="n"/>
      <c r="F7" s="21" t="n"/>
      <c r="G7" s="21" t="n"/>
      <c r="H7" s="30" t="n"/>
    </row>
    <row r="8" ht="20.1" customHeight="1" s="372">
      <c r="A8" s="20" t="n"/>
      <c r="B8" s="21" t="n"/>
      <c r="C8" s="21" t="n"/>
      <c r="D8" s="21" t="n"/>
      <c r="E8" s="21" t="n"/>
      <c r="F8" s="21" t="n"/>
      <c r="G8" s="21" t="n"/>
      <c r="H8" s="30" t="n"/>
    </row>
    <row r="9" ht="20.1" customHeight="1" s="372">
      <c r="A9" s="20" t="n"/>
      <c r="B9" s="21" t="n"/>
      <c r="C9" s="21" t="n"/>
      <c r="D9" s="21" t="n"/>
      <c r="E9" s="21" t="n"/>
      <c r="F9" s="21" t="n"/>
      <c r="G9" s="21" t="n"/>
      <c r="H9" s="30" t="n"/>
    </row>
    <row r="10" ht="20.1" customHeight="1" s="372">
      <c r="A10" s="20" t="n"/>
      <c r="B10" s="21" t="n"/>
      <c r="C10" s="21" t="n"/>
      <c r="D10" s="21" t="n"/>
      <c r="E10" s="21" t="n"/>
      <c r="F10" s="21" t="n"/>
      <c r="G10" s="21" t="n"/>
      <c r="H10" s="30" t="n"/>
    </row>
    <row r="11" ht="20.1" customHeight="1" s="372">
      <c r="A11" s="20" t="n"/>
      <c r="B11" s="21" t="n"/>
      <c r="C11" s="21" t="n"/>
      <c r="D11" s="21" t="n"/>
      <c r="E11" s="21" t="n"/>
      <c r="F11" s="21" t="n"/>
      <c r="G11" s="21" t="n"/>
      <c r="H11" s="30" t="n"/>
    </row>
    <row r="12" ht="20.1" customHeight="1" s="372">
      <c r="A12" s="20" t="n"/>
      <c r="B12" s="21" t="n"/>
      <c r="C12" s="21" t="n"/>
      <c r="D12" s="21" t="n"/>
      <c r="E12" s="21" t="n"/>
      <c r="F12" s="21" t="n"/>
      <c r="G12" s="21" t="n"/>
      <c r="H12" s="30" t="n"/>
    </row>
    <row r="13" ht="20.1" customHeight="1" s="372">
      <c r="A13" s="20" t="n"/>
      <c r="B13" s="21" t="n"/>
      <c r="C13" s="21" t="n"/>
      <c r="D13" s="21" t="n"/>
      <c r="E13" s="21" t="n"/>
      <c r="F13" s="21" t="n"/>
      <c r="G13" s="21" t="n"/>
      <c r="H13" s="30" t="n"/>
    </row>
    <row r="14" ht="20.1" customHeight="1" s="372">
      <c r="A14" s="20" t="n"/>
      <c r="B14" s="21" t="n"/>
      <c r="C14" s="21" t="n"/>
      <c r="D14" s="21" t="n"/>
      <c r="E14" s="21" t="n"/>
      <c r="F14" s="21" t="n"/>
      <c r="G14" s="21" t="n"/>
      <c r="H14" s="30" t="n"/>
    </row>
    <row r="15" ht="20.1" customHeight="1" s="372">
      <c r="A15" s="215" t="n"/>
      <c r="B15" s="21" t="n"/>
      <c r="C15" s="21" t="n"/>
      <c r="D15" s="21" t="n"/>
      <c r="E15" s="21" t="n"/>
      <c r="F15" s="21" t="n"/>
      <c r="G15" s="21" t="n"/>
      <c r="H15" s="30" t="n"/>
    </row>
    <row r="16" ht="20.1" customHeight="1" s="372">
      <c r="A16" s="20" t="n"/>
      <c r="B16" s="21" t="n"/>
      <c r="C16" s="21" t="n"/>
      <c r="D16" s="21" t="n"/>
      <c r="E16" s="21" t="n"/>
      <c r="F16" s="21" t="n"/>
      <c r="G16" s="21" t="n"/>
      <c r="H16" s="30" t="n"/>
    </row>
    <row r="17" ht="20.1" customHeight="1" s="372">
      <c r="A17" s="20" t="n"/>
      <c r="B17" s="21" t="n"/>
      <c r="C17" s="21" t="n"/>
      <c r="D17" s="21" t="n"/>
      <c r="E17" s="21" t="n"/>
      <c r="F17" s="21" t="n"/>
      <c r="G17" s="21" t="n"/>
      <c r="H17" s="30" t="n"/>
    </row>
    <row r="18" ht="20.1" customHeight="1" s="372">
      <c r="A18" s="20" t="n"/>
      <c r="B18" s="21" t="n"/>
      <c r="C18" s="21" t="n"/>
      <c r="D18" s="21" t="n"/>
      <c r="E18" s="21" t="n"/>
      <c r="F18" s="21" t="n"/>
      <c r="G18" s="21" t="n"/>
      <c r="H18" s="30" t="n"/>
    </row>
    <row r="19" ht="20.1" customHeight="1" s="372">
      <c r="A19" s="20" t="n"/>
      <c r="B19" s="21" t="n"/>
      <c r="C19" s="21" t="n"/>
      <c r="D19" s="21" t="n"/>
      <c r="E19" s="21" t="n"/>
      <c r="F19" s="21" t="n"/>
      <c r="G19" s="21" t="n"/>
      <c r="H19" s="30" t="n"/>
    </row>
    <row r="20" ht="20.1" customHeight="1" s="372">
      <c r="A20" s="20" t="n"/>
      <c r="B20" s="21" t="n"/>
      <c r="C20" s="21" t="n"/>
      <c r="D20" s="21" t="n"/>
      <c r="E20" s="21" t="n"/>
      <c r="F20" s="21" t="n"/>
      <c r="G20" s="21" t="n"/>
      <c r="H20" s="30" t="n"/>
    </row>
    <row r="21" ht="20.1" customHeight="1" s="372">
      <c r="A21" s="20" t="n"/>
      <c r="B21" s="21" t="n"/>
      <c r="C21" s="21" t="n"/>
      <c r="D21" s="21" t="n"/>
      <c r="E21" s="21" t="n"/>
      <c r="F21" s="21" t="n"/>
      <c r="G21" s="21" t="n"/>
      <c r="H21" s="30" t="n"/>
    </row>
    <row r="22" ht="30" customFormat="1" customHeight="1" s="217">
      <c r="A22" s="216" t="n"/>
      <c r="B22" s="41" t="inlineStr">
        <is>
          <t>개선 시행 제품/공정명</t>
        </is>
      </c>
      <c r="C22" s="41" t="inlineStr">
        <is>
          <t>개선의 필요성, 문제점 등을 부적합 발생율과 같은 객관적 수치와 함께 기록</t>
        </is>
      </c>
      <c r="D22" s="41" t="inlineStr">
        <is>
          <t>개선담당 부서와 담당자</t>
        </is>
      </c>
      <c r="E22" s="41" t="inlineStr">
        <is>
          <t>개선 소요 기간</t>
        </is>
      </c>
      <c r="F22" s="41" t="inlineStr">
        <is>
          <t>개선 내역을 상세하게</t>
        </is>
      </c>
      <c r="G22" s="41" t="inlineStr">
        <is>
          <t>개선 소요 비용, 비용대비 예상 효과 기록 - 효과는 정성적인 요소(안전, 신인도 향상 등)도 가능</t>
        </is>
      </c>
      <c r="H22" s="89" t="inlineStr">
        <is>
          <t>표준화, 별도 사업화 등 후속조치 기록</t>
        </is>
      </c>
    </row>
  </sheetData>
  <printOptions horizontalCentered="1"/>
  <pageMargins left="0.25" right="0.25" top="0.75" bottom="0.75" header="0.3" footer="0.3"/>
  <pageSetup orientation="landscape" paperSize="9"/>
</worksheet>
</file>

<file path=xl/worksheets/sheet15.xml><?xml version="1.0" encoding="utf-8"?>
<worksheet xmlns="http://schemas.openxmlformats.org/spreadsheetml/2006/main">
  <sheetPr>
    <tabColor rgb="FF0070C0"/>
    <outlinePr summaryBelow="1" summaryRight="1"/>
    <pageSetUpPr/>
  </sheetPr>
  <dimension ref="A1:E30"/>
  <sheetViews>
    <sheetView showGridLines="0" zoomScaleNormal="100" workbookViewId="0">
      <selection activeCell="I26" sqref="I26"/>
    </sheetView>
  </sheetViews>
  <sheetFormatPr baseColWidth="8" defaultColWidth="4.875" defaultRowHeight="16.15" customHeight="1"/>
  <cols>
    <col width="10.625" customWidth="1" style="184" min="1" max="1"/>
    <col width="12.625" customWidth="1" style="182" min="2" max="2"/>
    <col width="15.625" customWidth="1" style="183" min="3" max="3"/>
    <col width="63.5" customWidth="1" style="182" min="4" max="4"/>
    <col width="20.625" customWidth="1" style="182" min="5" max="5"/>
    <col width="4.875" customWidth="1" style="182" min="6" max="16384"/>
  </cols>
  <sheetData>
    <row r="1" ht="24.95" customHeight="1" s="372">
      <c r="A1" s="181" t="inlineStr">
        <is>
          <t>Part Ⅱ-1. 품질비용(Q-Cost)</t>
        </is>
      </c>
      <c r="E1" s="256" t="n"/>
    </row>
    <row r="2" ht="16.15" customHeight="1" s="372">
      <c r="E2" s="257" t="inlineStr">
        <is>
          <t xml:space="preserve">분석일 : </t>
        </is>
      </c>
    </row>
    <row r="3" ht="15" customFormat="1" customHeight="1" s="188">
      <c r="A3" s="185" t="inlineStr">
        <is>
          <t>분류</t>
        </is>
      </c>
      <c r="B3" s="186" t="inlineStr">
        <is>
          <t>구분</t>
        </is>
      </c>
      <c r="C3" s="186" t="inlineStr">
        <is>
          <t>적용항목</t>
        </is>
      </c>
      <c r="D3" s="186" t="inlineStr">
        <is>
          <t>항목별 세부 품질 비용 산출 대상</t>
        </is>
      </c>
      <c r="E3" s="187" t="inlineStr">
        <is>
          <t>품질비용</t>
        </is>
      </c>
    </row>
    <row r="4" ht="15" customHeight="1" s="372">
      <c r="A4" s="189" t="inlineStr">
        <is>
          <t>A-COST</t>
        </is>
      </c>
      <c r="B4" s="190" t="inlineStr">
        <is>
          <t>검 사</t>
        </is>
      </c>
      <c r="C4" s="191" t="inlineStr">
        <is>
          <t>수입검사비용</t>
        </is>
      </c>
      <c r="D4" s="191" t="inlineStr">
        <is>
          <t>수입검사시 소요된 시간(시간당 생산단가 * 검사원들의 총검사시간)</t>
        </is>
      </c>
      <c r="E4" s="393" t="n"/>
    </row>
    <row r="5" ht="15" customHeight="1" s="372">
      <c r="A5" s="193" t="inlineStr">
        <is>
          <t>(평가비용)</t>
        </is>
      </c>
      <c r="B5" s="194" t="n"/>
      <c r="C5" s="195" t="inlineStr">
        <is>
          <t>공정검사비용</t>
        </is>
      </c>
      <c r="D5" s="195" t="inlineStr">
        <is>
          <t>공정검사시 소요된 시간(시간당 생산단가 * 검사원들의 총검사시간)</t>
        </is>
      </c>
      <c r="E5" s="394" t="n"/>
    </row>
    <row r="6" ht="15" customHeight="1" s="372">
      <c r="A6" s="193" t="n"/>
      <c r="B6" s="194" t="n"/>
      <c r="C6" s="195" t="inlineStr">
        <is>
          <t>출하검사비용</t>
        </is>
      </c>
      <c r="D6" s="195" t="inlineStr">
        <is>
          <t>출하검사시 소요된 시간(시간당 생산단가 * 검사원들의 총검사시간)</t>
        </is>
      </c>
      <c r="E6" s="394" t="n"/>
    </row>
    <row r="7" ht="15" customHeight="1" s="372">
      <c r="A7" s="193" t="n"/>
      <c r="B7" s="194" t="n"/>
      <c r="C7" s="195" t="n"/>
      <c r="D7" s="195" t="n"/>
      <c r="E7" s="394" t="n"/>
    </row>
    <row r="8" ht="15" customHeight="1" s="372">
      <c r="A8" s="193" t="n"/>
      <c r="B8" s="194" t="inlineStr">
        <is>
          <t>검교정</t>
        </is>
      </c>
      <c r="C8" s="195" t="inlineStr">
        <is>
          <t>검교정</t>
        </is>
      </c>
      <c r="D8" s="195" t="inlineStr">
        <is>
          <t>사내외 검교정 비용(계측기 검교정비용)</t>
        </is>
      </c>
      <c r="E8" s="394" t="n"/>
    </row>
    <row r="9" ht="15" customHeight="1" s="372">
      <c r="A9" s="193" t="n"/>
      <c r="B9" s="194" t="n"/>
      <c r="C9" s="195" t="inlineStr">
        <is>
          <t>기 타</t>
        </is>
      </c>
      <c r="D9" s="195" t="n"/>
      <c r="E9" s="394" t="n"/>
    </row>
    <row r="10" ht="15" customHeight="1" s="372">
      <c r="A10" s="395" t="inlineStr">
        <is>
          <t>A-Cost(평가비용:appraisal costs) 소계</t>
        </is>
      </c>
      <c r="B10" s="396" t="n"/>
      <c r="C10" s="396" t="n"/>
      <c r="D10" s="397" t="n"/>
      <c r="E10" s="398">
        <f>SUM(E4:E9)</f>
        <v/>
      </c>
    </row>
    <row r="11" ht="15" customHeight="1" s="372">
      <c r="A11" s="189" t="inlineStr">
        <is>
          <t>P-COST</t>
        </is>
      </c>
      <c r="B11" s="198" t="inlineStr">
        <is>
          <t>품질교육</t>
        </is>
      </c>
      <c r="C11" s="199" t="inlineStr">
        <is>
          <t>사내</t>
        </is>
      </c>
      <c r="D11" s="199" t="inlineStr">
        <is>
          <t>신입생교육포함한 사내모든 품질관련 교육비</t>
        </is>
      </c>
      <c r="E11" s="399" t="n"/>
    </row>
    <row r="12" ht="15" customHeight="1" s="372">
      <c r="A12" s="193" t="inlineStr">
        <is>
          <t>(예방비용)</t>
        </is>
      </c>
      <c r="B12" s="194" t="n"/>
      <c r="C12" s="195" t="inlineStr">
        <is>
          <t>사외</t>
        </is>
      </c>
      <c r="D12" s="195" t="inlineStr">
        <is>
          <t>자격유지, 법정교육을 포함한 사외 교육비</t>
        </is>
      </c>
      <c r="E12" s="394" t="n"/>
    </row>
    <row r="13" ht="15" customHeight="1" s="372">
      <c r="A13" s="193" t="n"/>
      <c r="B13" s="194" t="inlineStr">
        <is>
          <t>평가비용</t>
        </is>
      </c>
      <c r="C13" s="195" t="inlineStr">
        <is>
          <t>외부공급자 평가</t>
        </is>
      </c>
      <c r="D13" s="195" t="inlineStr">
        <is>
          <t>외부공급자 평가,지도 비용(ex, 사내 출장여비 규정 기준으로 산정)</t>
        </is>
      </c>
      <c r="E13" s="394" t="n"/>
    </row>
    <row r="14" ht="15" customHeight="1" s="372">
      <c r="A14" s="193" t="n"/>
      <c r="B14" s="194" t="inlineStr">
        <is>
          <t>심사/감사비</t>
        </is>
      </c>
      <c r="C14" s="195" t="inlineStr">
        <is>
          <t>자체 감사비</t>
        </is>
      </c>
      <c r="D14" s="195" t="inlineStr">
        <is>
          <t>자체감사소요 경비</t>
        </is>
      </c>
      <c r="E14" s="394" t="n"/>
    </row>
    <row r="15" ht="15" customHeight="1" s="372">
      <c r="A15" s="193" t="n"/>
      <c r="B15" s="194" t="n"/>
      <c r="C15" s="195" t="inlineStr">
        <is>
          <t>외부감사비</t>
        </is>
      </c>
      <c r="D15" s="195" t="inlineStr">
        <is>
          <t>고객심사 대응비용(컨설팅비용 포함)</t>
        </is>
      </c>
      <c r="E15" s="394" t="n"/>
    </row>
    <row r="16" ht="15" customHeight="1" s="372">
      <c r="A16" s="193" t="n"/>
      <c r="B16" s="194" t="n"/>
      <c r="C16" s="195" t="n"/>
      <c r="D16" s="195" t="inlineStr">
        <is>
          <t>ISO/IATF/{{DOC_PREFIX}} 등 외부 심사비용(공인시험비용, 컨설팅비용 포함)</t>
        </is>
      </c>
      <c r="E16" s="394" t="n"/>
    </row>
    <row r="17" ht="15" customHeight="1" s="372">
      <c r="A17" s="395" t="inlineStr">
        <is>
          <t>P-Cost(예방비용:prevention costs) 소계</t>
        </is>
      </c>
      <c r="B17" s="396" t="n"/>
      <c r="C17" s="396" t="n"/>
      <c r="D17" s="397" t="n"/>
      <c r="E17" s="400">
        <f>SUM(E11:E16)</f>
        <v/>
      </c>
    </row>
    <row r="18" ht="15" customHeight="1" s="372">
      <c r="A18" s="189" t="inlineStr">
        <is>
          <t>F-COST</t>
        </is>
      </c>
      <c r="B18" s="190" t="inlineStr">
        <is>
          <t>재작업</t>
        </is>
      </c>
      <c r="C18" s="191" t="inlineStr">
        <is>
          <t>사내 재작업비용</t>
        </is>
      </c>
      <c r="D18" s="191" t="inlineStr">
        <is>
          <t>재검사, 재작업시 소요된 시간(사내작업만 해당)</t>
        </is>
      </c>
      <c r="E18" s="393" t="n"/>
    </row>
    <row r="19" ht="15" customHeight="1" s="372">
      <c r="A19" s="193" t="inlineStr">
        <is>
          <t>(실패비용)</t>
        </is>
      </c>
      <c r="B19" s="194" t="inlineStr">
        <is>
          <t>재검사</t>
        </is>
      </c>
      <c r="C19" s="195" t="inlineStr">
        <is>
          <t>사내불량폐기경비</t>
        </is>
      </c>
      <c r="D19" s="195" t="inlineStr">
        <is>
          <t>품질문제에 의한 제품 폐기로 인한 손실금액</t>
        </is>
      </c>
      <c r="E19" s="394" t="n"/>
    </row>
    <row r="20" ht="15" customHeight="1" s="372">
      <c r="A20" s="193" t="inlineStr">
        <is>
          <t>(사내)</t>
        </is>
      </c>
      <c r="B20" s="194" t="n"/>
      <c r="C20" s="195" t="inlineStr">
        <is>
          <t>기타경비</t>
        </is>
      </c>
      <c r="D20" s="195" t="inlineStr">
        <is>
          <t>불량 재작업에 소요되는 공구, 소모품 등의 비용</t>
        </is>
      </c>
      <c r="E20" s="394" t="n"/>
    </row>
    <row r="21" ht="15" customHeight="1" s="372">
      <c r="A21" s="193" t="n"/>
      <c r="B21" s="194" t="n"/>
      <c r="C21" s="195" t="n"/>
      <c r="D21" s="195" t="n"/>
      <c r="E21" s="394" t="n"/>
    </row>
    <row r="22" ht="15" customHeight="1" s="372">
      <c r="A22" s="395" t="inlineStr">
        <is>
          <t>F-Cost(실패비용-사내:internal failure costs) 소계</t>
        </is>
      </c>
      <c r="B22" s="396" t="n"/>
      <c r="C22" s="396" t="n"/>
      <c r="D22" s="397" t="n"/>
      <c r="E22" s="398">
        <f>SUM(E18:E21)</f>
        <v/>
      </c>
    </row>
    <row r="23" ht="15" customHeight="1" s="372">
      <c r="A23" s="189" t="inlineStr">
        <is>
          <t>F-COST</t>
        </is>
      </c>
      <c r="B23" s="198" t="inlineStr">
        <is>
          <t>반품</t>
        </is>
      </c>
      <c r="C23" s="199" t="inlineStr">
        <is>
          <t>불량 운송비</t>
        </is>
      </c>
      <c r="D23" s="199" t="inlineStr">
        <is>
          <t>사외 CLAIM시 제품 반송 및 대체품 운송비용</t>
        </is>
      </c>
      <c r="E23" s="399" t="n"/>
    </row>
    <row r="24" ht="15" customHeight="1" s="372">
      <c r="A24" s="193" t="inlineStr">
        <is>
          <t>(실패비용)</t>
        </is>
      </c>
      <c r="B24" s="194" t="inlineStr">
        <is>
          <t>수리</t>
        </is>
      </c>
      <c r="C24" s="195" t="inlineStr">
        <is>
          <t>출장 재작업비용</t>
        </is>
      </c>
      <c r="D24" s="195" t="inlineStr">
        <is>
          <t>CLAIM 처리시 출장(재작업, 선별 등), 파견에 따른 제경비</t>
        </is>
      </c>
      <c r="E24" s="394" t="n"/>
    </row>
    <row r="25" ht="15" customHeight="1" s="372">
      <c r="A25" s="193" t="inlineStr">
        <is>
          <t>(사외)</t>
        </is>
      </c>
      <c r="B25" s="194" t="inlineStr">
        <is>
          <t>재검사</t>
        </is>
      </c>
      <c r="C25" s="195" t="inlineStr">
        <is>
          <t>사내 재작업비용</t>
        </is>
      </c>
      <c r="D25" s="195" t="inlineStr">
        <is>
          <t>CLAIM품 입고시 본사에서 재작업, 재검소요경비일체</t>
        </is>
      </c>
      <c r="E25" s="394" t="n"/>
    </row>
    <row r="26" ht="15" customHeight="1" s="372">
      <c r="A26" s="193" t="n"/>
      <c r="B26" s="194" t="inlineStr">
        <is>
          <t>재작업</t>
        </is>
      </c>
      <c r="C26" s="195" t="inlineStr">
        <is>
          <t>폐기비용</t>
        </is>
      </c>
      <c r="D26" s="195" t="inlineStr">
        <is>
          <t>품질문제에 의해 제품을 폐기할때 손실금액</t>
        </is>
      </c>
      <c r="E26" s="394" t="n"/>
    </row>
    <row r="27" ht="15" customHeight="1" s="372">
      <c r="A27" s="193" t="n"/>
      <c r="B27" s="202" t="n"/>
      <c r="C27" s="203" t="inlineStr">
        <is>
          <t>CLAIM</t>
        </is>
      </c>
      <c r="D27" s="203" t="inlineStr">
        <is>
          <t>고객사에서 청구한 CLAIM 처리 비용</t>
        </is>
      </c>
      <c r="E27" s="401" t="n"/>
    </row>
    <row r="28" ht="15" customHeight="1" s="372">
      <c r="A28" s="312" t="inlineStr">
        <is>
          <t>F-Cost(실패비용-사외:external failure costs) 소계</t>
        </is>
      </c>
      <c r="B28" s="402" t="n"/>
      <c r="C28" s="402" t="n"/>
      <c r="D28" s="388" t="n"/>
      <c r="E28" s="403">
        <f>SUM(E23:E27)</f>
        <v/>
      </c>
    </row>
    <row r="29" ht="15" customHeight="1" s="372">
      <c r="A29" s="314" t="inlineStr">
        <is>
          <t>목표</t>
        </is>
      </c>
      <c r="B29" s="206" t="inlineStr">
        <is>
          <t>금액</t>
        </is>
      </c>
      <c r="C29" s="207" t="n"/>
      <c r="D29" s="208" t="inlineStr">
        <is>
          <t>품질비용(Q-COST) 합계</t>
        </is>
      </c>
      <c r="E29" s="404">
        <f>SUM(E28,E22,E17,E10)</f>
        <v/>
      </c>
    </row>
    <row r="30" ht="15" customHeight="1" s="372">
      <c r="A30" s="375" t="n"/>
      <c r="B30" s="210" t="inlineStr">
        <is>
          <t>매출점유율</t>
        </is>
      </c>
      <c r="C30" s="211" t="n"/>
      <c r="D30" s="212" t="inlineStr">
        <is>
          <t>품질비용 점유율(Q-COST / 매출액 × 100)</t>
        </is>
      </c>
      <c r="E30" s="211" t="inlineStr">
        <is>
          <t>%</t>
        </is>
      </c>
    </row>
  </sheetData>
  <mergeCells count="5">
    <mergeCell ref="A17:D17"/>
    <mergeCell ref="A22:D22"/>
    <mergeCell ref="A29:A30"/>
    <mergeCell ref="A10:D10"/>
    <mergeCell ref="A28:D28"/>
  </mergeCells>
  <printOptions horizontalCentered="1"/>
  <pageMargins left="0.25" right="0.25" top="0.75" bottom="0.75" header="0.3" footer="0.3"/>
  <pageSetup orientation="landscape" paperSize="9"/>
</worksheet>
</file>

<file path=xl/worksheets/sheet16.xml><?xml version="1.0" encoding="utf-8"?>
<worksheet xmlns="http://schemas.openxmlformats.org/spreadsheetml/2006/main">
  <sheetPr>
    <tabColor rgb="FF0070C0"/>
    <outlinePr summaryBelow="1" summaryRight="1"/>
    <pageSetUpPr/>
  </sheetPr>
  <dimension ref="A1:I25"/>
  <sheetViews>
    <sheetView showGridLines="0" zoomScaleNormal="100" zoomScaleSheetLayoutView="40" workbookViewId="0">
      <selection activeCell="A22" sqref="A22:I22"/>
    </sheetView>
  </sheetViews>
  <sheetFormatPr baseColWidth="8" defaultColWidth="8.375" defaultRowHeight="20.1" customHeight="1"/>
  <cols>
    <col width="20.625" customWidth="1" style="317" min="1" max="1"/>
    <col width="13.625" customWidth="1" style="317" min="2" max="2"/>
    <col width="12.625" customWidth="1" style="43" min="3" max="9"/>
    <col width="8.375" customWidth="1" style="43" min="10" max="233"/>
    <col width="10.125" customWidth="1" style="43" min="234" max="234"/>
    <col width="11" customWidth="1" style="43" min="235" max="235"/>
    <col width="7.875" customWidth="1" style="43" min="236" max="236"/>
    <col width="9.25" customWidth="1" style="43" min="237" max="237"/>
    <col width="0.125" customWidth="1" style="43" min="238" max="238"/>
    <col width="9.75" customWidth="1" style="43" min="239" max="251"/>
    <col width="8.375" customWidth="1" style="43" min="252" max="252"/>
    <col width="4.625" customWidth="1" style="43" min="253" max="253"/>
    <col width="10.25" customWidth="1" style="43" min="254" max="256"/>
    <col width="8.375" customWidth="1" style="43" min="257" max="489"/>
    <col width="10.125" customWidth="1" style="43" min="490" max="490"/>
    <col width="11" customWidth="1" style="43" min="491" max="491"/>
    <col width="7.875" customWidth="1" style="43" min="492" max="492"/>
    <col width="9.25" customWidth="1" style="43" min="493" max="493"/>
    <col width="0.125" customWidth="1" style="43" min="494" max="494"/>
    <col width="9.75" customWidth="1" style="43" min="495" max="507"/>
    <col width="8.375" customWidth="1" style="43" min="508" max="508"/>
    <col width="4.625" customWidth="1" style="43" min="509" max="509"/>
    <col width="10.25" customWidth="1" style="43" min="510" max="512"/>
    <col width="8.375" customWidth="1" style="43" min="513" max="745"/>
    <col width="10.125" customWidth="1" style="43" min="746" max="746"/>
    <col width="11" customWidth="1" style="43" min="747" max="747"/>
    <col width="7.875" customWidth="1" style="43" min="748" max="748"/>
    <col width="9.25" customWidth="1" style="43" min="749" max="749"/>
    <col width="0.125" customWidth="1" style="43" min="750" max="750"/>
    <col width="9.75" customWidth="1" style="43" min="751" max="763"/>
    <col width="8.375" customWidth="1" style="43" min="764" max="764"/>
    <col width="4.625" customWidth="1" style="43" min="765" max="765"/>
    <col width="10.25" customWidth="1" style="43" min="766" max="768"/>
    <col width="8.375" customWidth="1" style="43" min="769" max="1001"/>
    <col width="10.125" customWidth="1" style="43" min="1002" max="1002"/>
    <col width="11" customWidth="1" style="43" min="1003" max="1003"/>
    <col width="7.875" customWidth="1" style="43" min="1004" max="1004"/>
    <col width="9.25" customWidth="1" style="43" min="1005" max="1005"/>
    <col width="0.125" customWidth="1" style="43" min="1006" max="1006"/>
    <col width="9.75" customWidth="1" style="43" min="1007" max="1019"/>
    <col width="8.375" customWidth="1" style="43" min="1020" max="1020"/>
    <col width="4.625" customWidth="1" style="43" min="1021" max="1021"/>
    <col width="10.25" customWidth="1" style="43" min="1022" max="1024"/>
    <col width="8.375" customWidth="1" style="43" min="1025" max="1257"/>
    <col width="10.125" customWidth="1" style="43" min="1258" max="1258"/>
    <col width="11" customWidth="1" style="43" min="1259" max="1259"/>
    <col width="7.875" customWidth="1" style="43" min="1260" max="1260"/>
    <col width="9.25" customWidth="1" style="43" min="1261" max="1261"/>
    <col width="0.125" customWidth="1" style="43" min="1262" max="1262"/>
    <col width="9.75" customWidth="1" style="43" min="1263" max="1275"/>
    <col width="8.375" customWidth="1" style="43" min="1276" max="1276"/>
    <col width="4.625" customWidth="1" style="43" min="1277" max="1277"/>
    <col width="10.25" customWidth="1" style="43" min="1278" max="1280"/>
    <col width="8.375" customWidth="1" style="43" min="1281" max="1513"/>
    <col width="10.125" customWidth="1" style="43" min="1514" max="1514"/>
    <col width="11" customWidth="1" style="43" min="1515" max="1515"/>
    <col width="7.875" customWidth="1" style="43" min="1516" max="1516"/>
    <col width="9.25" customWidth="1" style="43" min="1517" max="1517"/>
    <col width="0.125" customWidth="1" style="43" min="1518" max="1518"/>
    <col width="9.75" customWidth="1" style="43" min="1519" max="1531"/>
    <col width="8.375" customWidth="1" style="43" min="1532" max="1532"/>
    <col width="4.625" customWidth="1" style="43" min="1533" max="1533"/>
    <col width="10.25" customWidth="1" style="43" min="1534" max="1536"/>
    <col width="8.375" customWidth="1" style="43" min="1537" max="1769"/>
    <col width="10.125" customWidth="1" style="43" min="1770" max="1770"/>
    <col width="11" customWidth="1" style="43" min="1771" max="1771"/>
    <col width="7.875" customWidth="1" style="43" min="1772" max="1772"/>
    <col width="9.25" customWidth="1" style="43" min="1773" max="1773"/>
    <col width="0.125" customWidth="1" style="43" min="1774" max="1774"/>
    <col width="9.75" customWidth="1" style="43" min="1775" max="1787"/>
    <col width="8.375" customWidth="1" style="43" min="1788" max="1788"/>
    <col width="4.625" customWidth="1" style="43" min="1789" max="1789"/>
    <col width="10.25" customWidth="1" style="43" min="1790" max="1792"/>
    <col width="8.375" customWidth="1" style="43" min="1793" max="2025"/>
    <col width="10.125" customWidth="1" style="43" min="2026" max="2026"/>
    <col width="11" customWidth="1" style="43" min="2027" max="2027"/>
    <col width="7.875" customWidth="1" style="43" min="2028" max="2028"/>
    <col width="9.25" customWidth="1" style="43" min="2029" max="2029"/>
    <col width="0.125" customWidth="1" style="43" min="2030" max="2030"/>
    <col width="9.75" customWidth="1" style="43" min="2031" max="2043"/>
    <col width="8.375" customWidth="1" style="43" min="2044" max="2044"/>
    <col width="4.625" customWidth="1" style="43" min="2045" max="2045"/>
    <col width="10.25" customWidth="1" style="43" min="2046" max="2048"/>
    <col width="8.375" customWidth="1" style="43" min="2049" max="2281"/>
    <col width="10.125" customWidth="1" style="43" min="2282" max="2282"/>
    <col width="11" customWidth="1" style="43" min="2283" max="2283"/>
    <col width="7.875" customWidth="1" style="43" min="2284" max="2284"/>
    <col width="9.25" customWidth="1" style="43" min="2285" max="2285"/>
    <col width="0.125" customWidth="1" style="43" min="2286" max="2286"/>
    <col width="9.75" customWidth="1" style="43" min="2287" max="2299"/>
    <col width="8.375" customWidth="1" style="43" min="2300" max="2300"/>
    <col width="4.625" customWidth="1" style="43" min="2301" max="2301"/>
    <col width="10.25" customWidth="1" style="43" min="2302" max="2304"/>
    <col width="8.375" customWidth="1" style="43" min="2305" max="2537"/>
    <col width="10.125" customWidth="1" style="43" min="2538" max="2538"/>
    <col width="11" customWidth="1" style="43" min="2539" max="2539"/>
    <col width="7.875" customWidth="1" style="43" min="2540" max="2540"/>
    <col width="9.25" customWidth="1" style="43" min="2541" max="2541"/>
    <col width="0.125" customWidth="1" style="43" min="2542" max="2542"/>
    <col width="9.75" customWidth="1" style="43" min="2543" max="2555"/>
    <col width="8.375" customWidth="1" style="43" min="2556" max="2556"/>
    <col width="4.625" customWidth="1" style="43" min="2557" max="2557"/>
    <col width="10.25" customWidth="1" style="43" min="2558" max="2560"/>
    <col width="8.375" customWidth="1" style="43" min="2561" max="2793"/>
    <col width="10.125" customWidth="1" style="43" min="2794" max="2794"/>
    <col width="11" customWidth="1" style="43" min="2795" max="2795"/>
    <col width="7.875" customWidth="1" style="43" min="2796" max="2796"/>
    <col width="9.25" customWidth="1" style="43" min="2797" max="2797"/>
    <col width="0.125" customWidth="1" style="43" min="2798" max="2798"/>
    <col width="9.75" customWidth="1" style="43" min="2799" max="2811"/>
    <col width="8.375" customWidth="1" style="43" min="2812" max="2812"/>
    <col width="4.625" customWidth="1" style="43" min="2813" max="2813"/>
    <col width="10.25" customWidth="1" style="43" min="2814" max="2816"/>
    <col width="8.375" customWidth="1" style="43" min="2817" max="3049"/>
    <col width="10.125" customWidth="1" style="43" min="3050" max="3050"/>
    <col width="11" customWidth="1" style="43" min="3051" max="3051"/>
    <col width="7.875" customWidth="1" style="43" min="3052" max="3052"/>
    <col width="9.25" customWidth="1" style="43" min="3053" max="3053"/>
    <col width="0.125" customWidth="1" style="43" min="3054" max="3054"/>
    <col width="9.75" customWidth="1" style="43" min="3055" max="3067"/>
    <col width="8.375" customWidth="1" style="43" min="3068" max="3068"/>
    <col width="4.625" customWidth="1" style="43" min="3069" max="3069"/>
    <col width="10.25" customWidth="1" style="43" min="3070" max="3072"/>
    <col width="8.375" customWidth="1" style="43" min="3073" max="3305"/>
    <col width="10.125" customWidth="1" style="43" min="3306" max="3306"/>
    <col width="11" customWidth="1" style="43" min="3307" max="3307"/>
    <col width="7.875" customWidth="1" style="43" min="3308" max="3308"/>
    <col width="9.25" customWidth="1" style="43" min="3309" max="3309"/>
    <col width="0.125" customWidth="1" style="43" min="3310" max="3310"/>
    <col width="9.75" customWidth="1" style="43" min="3311" max="3323"/>
    <col width="8.375" customWidth="1" style="43" min="3324" max="3324"/>
    <col width="4.625" customWidth="1" style="43" min="3325" max="3325"/>
    <col width="10.25" customWidth="1" style="43" min="3326" max="3328"/>
    <col width="8.375" customWidth="1" style="43" min="3329" max="3561"/>
    <col width="10.125" customWidth="1" style="43" min="3562" max="3562"/>
    <col width="11" customWidth="1" style="43" min="3563" max="3563"/>
    <col width="7.875" customWidth="1" style="43" min="3564" max="3564"/>
    <col width="9.25" customWidth="1" style="43" min="3565" max="3565"/>
    <col width="0.125" customWidth="1" style="43" min="3566" max="3566"/>
    <col width="9.75" customWidth="1" style="43" min="3567" max="3579"/>
    <col width="8.375" customWidth="1" style="43" min="3580" max="3580"/>
    <col width="4.625" customWidth="1" style="43" min="3581" max="3581"/>
    <col width="10.25" customWidth="1" style="43" min="3582" max="3584"/>
    <col width="8.375" customWidth="1" style="43" min="3585" max="3817"/>
    <col width="10.125" customWidth="1" style="43" min="3818" max="3818"/>
    <col width="11" customWidth="1" style="43" min="3819" max="3819"/>
    <col width="7.875" customWidth="1" style="43" min="3820" max="3820"/>
    <col width="9.25" customWidth="1" style="43" min="3821" max="3821"/>
    <col width="0.125" customWidth="1" style="43" min="3822" max="3822"/>
    <col width="9.75" customWidth="1" style="43" min="3823" max="3835"/>
    <col width="8.375" customWidth="1" style="43" min="3836" max="3836"/>
    <col width="4.625" customWidth="1" style="43" min="3837" max="3837"/>
    <col width="10.25" customWidth="1" style="43" min="3838" max="3840"/>
    <col width="8.375" customWidth="1" style="43" min="3841" max="4073"/>
    <col width="10.125" customWidth="1" style="43" min="4074" max="4074"/>
    <col width="11" customWidth="1" style="43" min="4075" max="4075"/>
    <col width="7.875" customWidth="1" style="43" min="4076" max="4076"/>
    <col width="9.25" customWidth="1" style="43" min="4077" max="4077"/>
    <col width="0.125" customWidth="1" style="43" min="4078" max="4078"/>
    <col width="9.75" customWidth="1" style="43" min="4079" max="4091"/>
    <col width="8.375" customWidth="1" style="43" min="4092" max="4092"/>
    <col width="4.625" customWidth="1" style="43" min="4093" max="4093"/>
    <col width="10.25" customWidth="1" style="43" min="4094" max="4096"/>
    <col width="8.375" customWidth="1" style="43" min="4097" max="4329"/>
    <col width="10.125" customWidth="1" style="43" min="4330" max="4330"/>
    <col width="11" customWidth="1" style="43" min="4331" max="4331"/>
    <col width="7.875" customWidth="1" style="43" min="4332" max="4332"/>
    <col width="9.25" customWidth="1" style="43" min="4333" max="4333"/>
    <col width="0.125" customWidth="1" style="43" min="4334" max="4334"/>
    <col width="9.75" customWidth="1" style="43" min="4335" max="4347"/>
    <col width="8.375" customWidth="1" style="43" min="4348" max="4348"/>
    <col width="4.625" customWidth="1" style="43" min="4349" max="4349"/>
    <col width="10.25" customWidth="1" style="43" min="4350" max="4352"/>
    <col width="8.375" customWidth="1" style="43" min="4353" max="4585"/>
    <col width="10.125" customWidth="1" style="43" min="4586" max="4586"/>
    <col width="11" customWidth="1" style="43" min="4587" max="4587"/>
    <col width="7.875" customWidth="1" style="43" min="4588" max="4588"/>
    <col width="9.25" customWidth="1" style="43" min="4589" max="4589"/>
    <col width="0.125" customWidth="1" style="43" min="4590" max="4590"/>
    <col width="9.75" customWidth="1" style="43" min="4591" max="4603"/>
    <col width="8.375" customWidth="1" style="43" min="4604" max="4604"/>
    <col width="4.625" customWidth="1" style="43" min="4605" max="4605"/>
    <col width="10.25" customWidth="1" style="43" min="4606" max="4608"/>
    <col width="8.375" customWidth="1" style="43" min="4609" max="4841"/>
    <col width="10.125" customWidth="1" style="43" min="4842" max="4842"/>
    <col width="11" customWidth="1" style="43" min="4843" max="4843"/>
    <col width="7.875" customWidth="1" style="43" min="4844" max="4844"/>
    <col width="9.25" customWidth="1" style="43" min="4845" max="4845"/>
    <col width="0.125" customWidth="1" style="43" min="4846" max="4846"/>
    <col width="9.75" customWidth="1" style="43" min="4847" max="4859"/>
    <col width="8.375" customWidth="1" style="43" min="4860" max="4860"/>
    <col width="4.625" customWidth="1" style="43" min="4861" max="4861"/>
    <col width="10.25" customWidth="1" style="43" min="4862" max="4864"/>
    <col width="8.375" customWidth="1" style="43" min="4865" max="5097"/>
    <col width="10.125" customWidth="1" style="43" min="5098" max="5098"/>
    <col width="11" customWidth="1" style="43" min="5099" max="5099"/>
    <col width="7.875" customWidth="1" style="43" min="5100" max="5100"/>
    <col width="9.25" customWidth="1" style="43" min="5101" max="5101"/>
    <col width="0.125" customWidth="1" style="43" min="5102" max="5102"/>
    <col width="9.75" customWidth="1" style="43" min="5103" max="5115"/>
    <col width="8.375" customWidth="1" style="43" min="5116" max="5116"/>
    <col width="4.625" customWidth="1" style="43" min="5117" max="5117"/>
    <col width="10.25" customWidth="1" style="43" min="5118" max="5120"/>
    <col width="8.375" customWidth="1" style="43" min="5121" max="5353"/>
    <col width="10.125" customWidth="1" style="43" min="5354" max="5354"/>
    <col width="11" customWidth="1" style="43" min="5355" max="5355"/>
    <col width="7.875" customWidth="1" style="43" min="5356" max="5356"/>
    <col width="9.25" customWidth="1" style="43" min="5357" max="5357"/>
    <col width="0.125" customWidth="1" style="43" min="5358" max="5358"/>
    <col width="9.75" customWidth="1" style="43" min="5359" max="5371"/>
    <col width="8.375" customWidth="1" style="43" min="5372" max="5372"/>
    <col width="4.625" customWidth="1" style="43" min="5373" max="5373"/>
    <col width="10.25" customWidth="1" style="43" min="5374" max="5376"/>
    <col width="8.375" customWidth="1" style="43" min="5377" max="5609"/>
    <col width="10.125" customWidth="1" style="43" min="5610" max="5610"/>
    <col width="11" customWidth="1" style="43" min="5611" max="5611"/>
    <col width="7.875" customWidth="1" style="43" min="5612" max="5612"/>
    <col width="9.25" customWidth="1" style="43" min="5613" max="5613"/>
    <col width="0.125" customWidth="1" style="43" min="5614" max="5614"/>
    <col width="9.75" customWidth="1" style="43" min="5615" max="5627"/>
    <col width="8.375" customWidth="1" style="43" min="5628" max="5628"/>
    <col width="4.625" customWidth="1" style="43" min="5629" max="5629"/>
    <col width="10.25" customWidth="1" style="43" min="5630" max="5632"/>
    <col width="8.375" customWidth="1" style="43" min="5633" max="5865"/>
    <col width="10.125" customWidth="1" style="43" min="5866" max="5866"/>
    <col width="11" customWidth="1" style="43" min="5867" max="5867"/>
    <col width="7.875" customWidth="1" style="43" min="5868" max="5868"/>
    <col width="9.25" customWidth="1" style="43" min="5869" max="5869"/>
    <col width="0.125" customWidth="1" style="43" min="5870" max="5870"/>
    <col width="9.75" customWidth="1" style="43" min="5871" max="5883"/>
    <col width="8.375" customWidth="1" style="43" min="5884" max="5884"/>
    <col width="4.625" customWidth="1" style="43" min="5885" max="5885"/>
    <col width="10.25" customWidth="1" style="43" min="5886" max="5888"/>
    <col width="8.375" customWidth="1" style="43" min="5889" max="6121"/>
    <col width="10.125" customWidth="1" style="43" min="6122" max="6122"/>
    <col width="11" customWidth="1" style="43" min="6123" max="6123"/>
    <col width="7.875" customWidth="1" style="43" min="6124" max="6124"/>
    <col width="9.25" customWidth="1" style="43" min="6125" max="6125"/>
    <col width="0.125" customWidth="1" style="43" min="6126" max="6126"/>
    <col width="9.75" customWidth="1" style="43" min="6127" max="6139"/>
    <col width="8.375" customWidth="1" style="43" min="6140" max="6140"/>
    <col width="4.625" customWidth="1" style="43" min="6141" max="6141"/>
    <col width="10.25" customWidth="1" style="43" min="6142" max="6144"/>
    <col width="8.375" customWidth="1" style="43" min="6145" max="6377"/>
    <col width="10.125" customWidth="1" style="43" min="6378" max="6378"/>
    <col width="11" customWidth="1" style="43" min="6379" max="6379"/>
    <col width="7.875" customWidth="1" style="43" min="6380" max="6380"/>
    <col width="9.25" customWidth="1" style="43" min="6381" max="6381"/>
    <col width="0.125" customWidth="1" style="43" min="6382" max="6382"/>
    <col width="9.75" customWidth="1" style="43" min="6383" max="6395"/>
    <col width="8.375" customWidth="1" style="43" min="6396" max="6396"/>
    <col width="4.625" customWidth="1" style="43" min="6397" max="6397"/>
    <col width="10.25" customWidth="1" style="43" min="6398" max="6400"/>
    <col width="8.375" customWidth="1" style="43" min="6401" max="6633"/>
    <col width="10.125" customWidth="1" style="43" min="6634" max="6634"/>
    <col width="11" customWidth="1" style="43" min="6635" max="6635"/>
    <col width="7.875" customWidth="1" style="43" min="6636" max="6636"/>
    <col width="9.25" customWidth="1" style="43" min="6637" max="6637"/>
    <col width="0.125" customWidth="1" style="43" min="6638" max="6638"/>
    <col width="9.75" customWidth="1" style="43" min="6639" max="6651"/>
    <col width="8.375" customWidth="1" style="43" min="6652" max="6652"/>
    <col width="4.625" customWidth="1" style="43" min="6653" max="6653"/>
    <col width="10.25" customWidth="1" style="43" min="6654" max="6656"/>
    <col width="8.375" customWidth="1" style="43" min="6657" max="6889"/>
    <col width="10.125" customWidth="1" style="43" min="6890" max="6890"/>
    <col width="11" customWidth="1" style="43" min="6891" max="6891"/>
    <col width="7.875" customWidth="1" style="43" min="6892" max="6892"/>
    <col width="9.25" customWidth="1" style="43" min="6893" max="6893"/>
    <col width="0.125" customWidth="1" style="43" min="6894" max="6894"/>
    <col width="9.75" customWidth="1" style="43" min="6895" max="6907"/>
    <col width="8.375" customWidth="1" style="43" min="6908" max="6908"/>
    <col width="4.625" customWidth="1" style="43" min="6909" max="6909"/>
    <col width="10.25" customWidth="1" style="43" min="6910" max="6912"/>
    <col width="8.375" customWidth="1" style="43" min="6913" max="7145"/>
    <col width="10.125" customWidth="1" style="43" min="7146" max="7146"/>
    <col width="11" customWidth="1" style="43" min="7147" max="7147"/>
    <col width="7.875" customWidth="1" style="43" min="7148" max="7148"/>
    <col width="9.25" customWidth="1" style="43" min="7149" max="7149"/>
    <col width="0.125" customWidth="1" style="43" min="7150" max="7150"/>
    <col width="9.75" customWidth="1" style="43" min="7151" max="7163"/>
    <col width="8.375" customWidth="1" style="43" min="7164" max="7164"/>
    <col width="4.625" customWidth="1" style="43" min="7165" max="7165"/>
    <col width="10.25" customWidth="1" style="43" min="7166" max="7168"/>
    <col width="8.375" customWidth="1" style="43" min="7169" max="7401"/>
    <col width="10.125" customWidth="1" style="43" min="7402" max="7402"/>
    <col width="11" customWidth="1" style="43" min="7403" max="7403"/>
    <col width="7.875" customWidth="1" style="43" min="7404" max="7404"/>
    <col width="9.25" customWidth="1" style="43" min="7405" max="7405"/>
    <col width="0.125" customWidth="1" style="43" min="7406" max="7406"/>
    <col width="9.75" customWidth="1" style="43" min="7407" max="7419"/>
    <col width="8.375" customWidth="1" style="43" min="7420" max="7420"/>
    <col width="4.625" customWidth="1" style="43" min="7421" max="7421"/>
    <col width="10.25" customWidth="1" style="43" min="7422" max="7424"/>
    <col width="8.375" customWidth="1" style="43" min="7425" max="7657"/>
    <col width="10.125" customWidth="1" style="43" min="7658" max="7658"/>
    <col width="11" customWidth="1" style="43" min="7659" max="7659"/>
    <col width="7.875" customWidth="1" style="43" min="7660" max="7660"/>
    <col width="9.25" customWidth="1" style="43" min="7661" max="7661"/>
    <col width="0.125" customWidth="1" style="43" min="7662" max="7662"/>
    <col width="9.75" customWidth="1" style="43" min="7663" max="7675"/>
    <col width="8.375" customWidth="1" style="43" min="7676" max="7676"/>
    <col width="4.625" customWidth="1" style="43" min="7677" max="7677"/>
    <col width="10.25" customWidth="1" style="43" min="7678" max="7680"/>
    <col width="8.375" customWidth="1" style="43" min="7681" max="7913"/>
    <col width="10.125" customWidth="1" style="43" min="7914" max="7914"/>
    <col width="11" customWidth="1" style="43" min="7915" max="7915"/>
    <col width="7.875" customWidth="1" style="43" min="7916" max="7916"/>
    <col width="9.25" customWidth="1" style="43" min="7917" max="7917"/>
    <col width="0.125" customWidth="1" style="43" min="7918" max="7918"/>
    <col width="9.75" customWidth="1" style="43" min="7919" max="7931"/>
    <col width="8.375" customWidth="1" style="43" min="7932" max="7932"/>
    <col width="4.625" customWidth="1" style="43" min="7933" max="7933"/>
    <col width="10.25" customWidth="1" style="43" min="7934" max="7936"/>
    <col width="8.375" customWidth="1" style="43" min="7937" max="8169"/>
    <col width="10.125" customWidth="1" style="43" min="8170" max="8170"/>
    <col width="11" customWidth="1" style="43" min="8171" max="8171"/>
    <col width="7.875" customWidth="1" style="43" min="8172" max="8172"/>
    <col width="9.25" customWidth="1" style="43" min="8173" max="8173"/>
    <col width="0.125" customWidth="1" style="43" min="8174" max="8174"/>
    <col width="9.75" customWidth="1" style="43" min="8175" max="8187"/>
    <col width="8.375" customWidth="1" style="43" min="8188" max="8188"/>
    <col width="4.625" customWidth="1" style="43" min="8189" max="8189"/>
    <col width="10.25" customWidth="1" style="43" min="8190" max="8192"/>
    <col width="8.375" customWidth="1" style="43" min="8193" max="8425"/>
    <col width="10.125" customWidth="1" style="43" min="8426" max="8426"/>
    <col width="11" customWidth="1" style="43" min="8427" max="8427"/>
    <col width="7.875" customWidth="1" style="43" min="8428" max="8428"/>
    <col width="9.25" customWidth="1" style="43" min="8429" max="8429"/>
    <col width="0.125" customWidth="1" style="43" min="8430" max="8430"/>
    <col width="9.75" customWidth="1" style="43" min="8431" max="8443"/>
    <col width="8.375" customWidth="1" style="43" min="8444" max="8444"/>
    <col width="4.625" customWidth="1" style="43" min="8445" max="8445"/>
    <col width="10.25" customWidth="1" style="43" min="8446" max="8448"/>
    <col width="8.375" customWidth="1" style="43" min="8449" max="8681"/>
    <col width="10.125" customWidth="1" style="43" min="8682" max="8682"/>
    <col width="11" customWidth="1" style="43" min="8683" max="8683"/>
    <col width="7.875" customWidth="1" style="43" min="8684" max="8684"/>
    <col width="9.25" customWidth="1" style="43" min="8685" max="8685"/>
    <col width="0.125" customWidth="1" style="43" min="8686" max="8686"/>
    <col width="9.75" customWidth="1" style="43" min="8687" max="8699"/>
    <col width="8.375" customWidth="1" style="43" min="8700" max="8700"/>
    <col width="4.625" customWidth="1" style="43" min="8701" max="8701"/>
    <col width="10.25" customWidth="1" style="43" min="8702" max="8704"/>
    <col width="8.375" customWidth="1" style="43" min="8705" max="8937"/>
    <col width="10.125" customWidth="1" style="43" min="8938" max="8938"/>
    <col width="11" customWidth="1" style="43" min="8939" max="8939"/>
    <col width="7.875" customWidth="1" style="43" min="8940" max="8940"/>
    <col width="9.25" customWidth="1" style="43" min="8941" max="8941"/>
    <col width="0.125" customWidth="1" style="43" min="8942" max="8942"/>
    <col width="9.75" customWidth="1" style="43" min="8943" max="8955"/>
    <col width="8.375" customWidth="1" style="43" min="8956" max="8956"/>
    <col width="4.625" customWidth="1" style="43" min="8957" max="8957"/>
    <col width="10.25" customWidth="1" style="43" min="8958" max="8960"/>
    <col width="8.375" customWidth="1" style="43" min="8961" max="9193"/>
    <col width="10.125" customWidth="1" style="43" min="9194" max="9194"/>
    <col width="11" customWidth="1" style="43" min="9195" max="9195"/>
    <col width="7.875" customWidth="1" style="43" min="9196" max="9196"/>
    <col width="9.25" customWidth="1" style="43" min="9197" max="9197"/>
    <col width="0.125" customWidth="1" style="43" min="9198" max="9198"/>
    <col width="9.75" customWidth="1" style="43" min="9199" max="9211"/>
    <col width="8.375" customWidth="1" style="43" min="9212" max="9212"/>
    <col width="4.625" customWidth="1" style="43" min="9213" max="9213"/>
    <col width="10.25" customWidth="1" style="43" min="9214" max="9216"/>
    <col width="8.375" customWidth="1" style="43" min="9217" max="9449"/>
    <col width="10.125" customWidth="1" style="43" min="9450" max="9450"/>
    <col width="11" customWidth="1" style="43" min="9451" max="9451"/>
    <col width="7.875" customWidth="1" style="43" min="9452" max="9452"/>
    <col width="9.25" customWidth="1" style="43" min="9453" max="9453"/>
    <col width="0.125" customWidth="1" style="43" min="9454" max="9454"/>
    <col width="9.75" customWidth="1" style="43" min="9455" max="9467"/>
    <col width="8.375" customWidth="1" style="43" min="9468" max="9468"/>
    <col width="4.625" customWidth="1" style="43" min="9469" max="9469"/>
    <col width="10.25" customWidth="1" style="43" min="9470" max="9472"/>
    <col width="8.375" customWidth="1" style="43" min="9473" max="9705"/>
    <col width="10.125" customWidth="1" style="43" min="9706" max="9706"/>
    <col width="11" customWidth="1" style="43" min="9707" max="9707"/>
    <col width="7.875" customWidth="1" style="43" min="9708" max="9708"/>
    <col width="9.25" customWidth="1" style="43" min="9709" max="9709"/>
    <col width="0.125" customWidth="1" style="43" min="9710" max="9710"/>
    <col width="9.75" customWidth="1" style="43" min="9711" max="9723"/>
    <col width="8.375" customWidth="1" style="43" min="9724" max="9724"/>
    <col width="4.625" customWidth="1" style="43" min="9725" max="9725"/>
    <col width="10.25" customWidth="1" style="43" min="9726" max="9728"/>
    <col width="8.375" customWidth="1" style="43" min="9729" max="9961"/>
    <col width="10.125" customWidth="1" style="43" min="9962" max="9962"/>
    <col width="11" customWidth="1" style="43" min="9963" max="9963"/>
    <col width="7.875" customWidth="1" style="43" min="9964" max="9964"/>
    <col width="9.25" customWidth="1" style="43" min="9965" max="9965"/>
    <col width="0.125" customWidth="1" style="43" min="9966" max="9966"/>
    <col width="9.75" customWidth="1" style="43" min="9967" max="9979"/>
    <col width="8.375" customWidth="1" style="43" min="9980" max="9980"/>
    <col width="4.625" customWidth="1" style="43" min="9981" max="9981"/>
    <col width="10.25" customWidth="1" style="43" min="9982" max="9984"/>
    <col width="8.375" customWidth="1" style="43" min="9985" max="10217"/>
    <col width="10.125" customWidth="1" style="43" min="10218" max="10218"/>
    <col width="11" customWidth="1" style="43" min="10219" max="10219"/>
    <col width="7.875" customWidth="1" style="43" min="10220" max="10220"/>
    <col width="9.25" customWidth="1" style="43" min="10221" max="10221"/>
    <col width="0.125" customWidth="1" style="43" min="10222" max="10222"/>
    <col width="9.75" customWidth="1" style="43" min="10223" max="10235"/>
    <col width="8.375" customWidth="1" style="43" min="10236" max="10236"/>
    <col width="4.625" customWidth="1" style="43" min="10237" max="10237"/>
    <col width="10.25" customWidth="1" style="43" min="10238" max="10240"/>
    <col width="8.375" customWidth="1" style="43" min="10241" max="10473"/>
    <col width="10.125" customWidth="1" style="43" min="10474" max="10474"/>
    <col width="11" customWidth="1" style="43" min="10475" max="10475"/>
    <col width="7.875" customWidth="1" style="43" min="10476" max="10476"/>
    <col width="9.25" customWidth="1" style="43" min="10477" max="10477"/>
    <col width="0.125" customWidth="1" style="43" min="10478" max="10478"/>
    <col width="9.75" customWidth="1" style="43" min="10479" max="10491"/>
    <col width="8.375" customWidth="1" style="43" min="10492" max="10492"/>
    <col width="4.625" customWidth="1" style="43" min="10493" max="10493"/>
    <col width="10.25" customWidth="1" style="43" min="10494" max="10496"/>
    <col width="8.375" customWidth="1" style="43" min="10497" max="10729"/>
    <col width="10.125" customWidth="1" style="43" min="10730" max="10730"/>
    <col width="11" customWidth="1" style="43" min="10731" max="10731"/>
    <col width="7.875" customWidth="1" style="43" min="10732" max="10732"/>
    <col width="9.25" customWidth="1" style="43" min="10733" max="10733"/>
    <col width="0.125" customWidth="1" style="43" min="10734" max="10734"/>
    <col width="9.75" customWidth="1" style="43" min="10735" max="10747"/>
    <col width="8.375" customWidth="1" style="43" min="10748" max="10748"/>
    <col width="4.625" customWidth="1" style="43" min="10749" max="10749"/>
    <col width="10.25" customWidth="1" style="43" min="10750" max="10752"/>
    <col width="8.375" customWidth="1" style="43" min="10753" max="10985"/>
    <col width="10.125" customWidth="1" style="43" min="10986" max="10986"/>
    <col width="11" customWidth="1" style="43" min="10987" max="10987"/>
    <col width="7.875" customWidth="1" style="43" min="10988" max="10988"/>
    <col width="9.25" customWidth="1" style="43" min="10989" max="10989"/>
    <col width="0.125" customWidth="1" style="43" min="10990" max="10990"/>
    <col width="9.75" customWidth="1" style="43" min="10991" max="11003"/>
    <col width="8.375" customWidth="1" style="43" min="11004" max="11004"/>
    <col width="4.625" customWidth="1" style="43" min="11005" max="11005"/>
    <col width="10.25" customWidth="1" style="43" min="11006" max="11008"/>
    <col width="8.375" customWidth="1" style="43" min="11009" max="11241"/>
    <col width="10.125" customWidth="1" style="43" min="11242" max="11242"/>
    <col width="11" customWidth="1" style="43" min="11243" max="11243"/>
    <col width="7.875" customWidth="1" style="43" min="11244" max="11244"/>
    <col width="9.25" customWidth="1" style="43" min="11245" max="11245"/>
    <col width="0.125" customWidth="1" style="43" min="11246" max="11246"/>
    <col width="9.75" customWidth="1" style="43" min="11247" max="11259"/>
    <col width="8.375" customWidth="1" style="43" min="11260" max="11260"/>
    <col width="4.625" customWidth="1" style="43" min="11261" max="11261"/>
    <col width="10.25" customWidth="1" style="43" min="11262" max="11264"/>
    <col width="8.375" customWidth="1" style="43" min="11265" max="11497"/>
    <col width="10.125" customWidth="1" style="43" min="11498" max="11498"/>
    <col width="11" customWidth="1" style="43" min="11499" max="11499"/>
    <col width="7.875" customWidth="1" style="43" min="11500" max="11500"/>
    <col width="9.25" customWidth="1" style="43" min="11501" max="11501"/>
    <col width="0.125" customWidth="1" style="43" min="11502" max="11502"/>
    <col width="9.75" customWidth="1" style="43" min="11503" max="11515"/>
    <col width="8.375" customWidth="1" style="43" min="11516" max="11516"/>
    <col width="4.625" customWidth="1" style="43" min="11517" max="11517"/>
    <col width="10.25" customWidth="1" style="43" min="11518" max="11520"/>
    <col width="8.375" customWidth="1" style="43" min="11521" max="11753"/>
    <col width="10.125" customWidth="1" style="43" min="11754" max="11754"/>
    <col width="11" customWidth="1" style="43" min="11755" max="11755"/>
    <col width="7.875" customWidth="1" style="43" min="11756" max="11756"/>
    <col width="9.25" customWidth="1" style="43" min="11757" max="11757"/>
    <col width="0.125" customWidth="1" style="43" min="11758" max="11758"/>
    <col width="9.75" customWidth="1" style="43" min="11759" max="11771"/>
    <col width="8.375" customWidth="1" style="43" min="11772" max="11772"/>
    <col width="4.625" customWidth="1" style="43" min="11773" max="11773"/>
    <col width="10.25" customWidth="1" style="43" min="11774" max="11776"/>
    <col width="8.375" customWidth="1" style="43" min="11777" max="12009"/>
    <col width="10.125" customWidth="1" style="43" min="12010" max="12010"/>
    <col width="11" customWidth="1" style="43" min="12011" max="12011"/>
    <col width="7.875" customWidth="1" style="43" min="12012" max="12012"/>
    <col width="9.25" customWidth="1" style="43" min="12013" max="12013"/>
    <col width="0.125" customWidth="1" style="43" min="12014" max="12014"/>
    <col width="9.75" customWidth="1" style="43" min="12015" max="12027"/>
    <col width="8.375" customWidth="1" style="43" min="12028" max="12028"/>
    <col width="4.625" customWidth="1" style="43" min="12029" max="12029"/>
    <col width="10.25" customWidth="1" style="43" min="12030" max="12032"/>
    <col width="8.375" customWidth="1" style="43" min="12033" max="12265"/>
    <col width="10.125" customWidth="1" style="43" min="12266" max="12266"/>
    <col width="11" customWidth="1" style="43" min="12267" max="12267"/>
    <col width="7.875" customWidth="1" style="43" min="12268" max="12268"/>
    <col width="9.25" customWidth="1" style="43" min="12269" max="12269"/>
    <col width="0.125" customWidth="1" style="43" min="12270" max="12270"/>
    <col width="9.75" customWidth="1" style="43" min="12271" max="12283"/>
    <col width="8.375" customWidth="1" style="43" min="12284" max="12284"/>
    <col width="4.625" customWidth="1" style="43" min="12285" max="12285"/>
    <col width="10.25" customWidth="1" style="43" min="12286" max="12288"/>
    <col width="8.375" customWidth="1" style="43" min="12289" max="12521"/>
    <col width="10.125" customWidth="1" style="43" min="12522" max="12522"/>
    <col width="11" customWidth="1" style="43" min="12523" max="12523"/>
    <col width="7.875" customWidth="1" style="43" min="12524" max="12524"/>
    <col width="9.25" customWidth="1" style="43" min="12525" max="12525"/>
    <col width="0.125" customWidth="1" style="43" min="12526" max="12526"/>
    <col width="9.75" customWidth="1" style="43" min="12527" max="12539"/>
    <col width="8.375" customWidth="1" style="43" min="12540" max="12540"/>
    <col width="4.625" customWidth="1" style="43" min="12541" max="12541"/>
    <col width="10.25" customWidth="1" style="43" min="12542" max="12544"/>
    <col width="8.375" customWidth="1" style="43" min="12545" max="12777"/>
    <col width="10.125" customWidth="1" style="43" min="12778" max="12778"/>
    <col width="11" customWidth="1" style="43" min="12779" max="12779"/>
    <col width="7.875" customWidth="1" style="43" min="12780" max="12780"/>
    <col width="9.25" customWidth="1" style="43" min="12781" max="12781"/>
    <col width="0.125" customWidth="1" style="43" min="12782" max="12782"/>
    <col width="9.75" customWidth="1" style="43" min="12783" max="12795"/>
    <col width="8.375" customWidth="1" style="43" min="12796" max="12796"/>
    <col width="4.625" customWidth="1" style="43" min="12797" max="12797"/>
    <col width="10.25" customWidth="1" style="43" min="12798" max="12800"/>
    <col width="8.375" customWidth="1" style="43" min="12801" max="13033"/>
    <col width="10.125" customWidth="1" style="43" min="13034" max="13034"/>
    <col width="11" customWidth="1" style="43" min="13035" max="13035"/>
    <col width="7.875" customWidth="1" style="43" min="13036" max="13036"/>
    <col width="9.25" customWidth="1" style="43" min="13037" max="13037"/>
    <col width="0.125" customWidth="1" style="43" min="13038" max="13038"/>
    <col width="9.75" customWidth="1" style="43" min="13039" max="13051"/>
    <col width="8.375" customWidth="1" style="43" min="13052" max="13052"/>
    <col width="4.625" customWidth="1" style="43" min="13053" max="13053"/>
    <col width="10.25" customWidth="1" style="43" min="13054" max="13056"/>
    <col width="8.375" customWidth="1" style="43" min="13057" max="13289"/>
    <col width="10.125" customWidth="1" style="43" min="13290" max="13290"/>
    <col width="11" customWidth="1" style="43" min="13291" max="13291"/>
    <col width="7.875" customWidth="1" style="43" min="13292" max="13292"/>
    <col width="9.25" customWidth="1" style="43" min="13293" max="13293"/>
    <col width="0.125" customWidth="1" style="43" min="13294" max="13294"/>
    <col width="9.75" customWidth="1" style="43" min="13295" max="13307"/>
    <col width="8.375" customWidth="1" style="43" min="13308" max="13308"/>
    <col width="4.625" customWidth="1" style="43" min="13309" max="13309"/>
    <col width="10.25" customWidth="1" style="43" min="13310" max="13312"/>
    <col width="8.375" customWidth="1" style="43" min="13313" max="13545"/>
    <col width="10.125" customWidth="1" style="43" min="13546" max="13546"/>
    <col width="11" customWidth="1" style="43" min="13547" max="13547"/>
    <col width="7.875" customWidth="1" style="43" min="13548" max="13548"/>
    <col width="9.25" customWidth="1" style="43" min="13549" max="13549"/>
    <col width="0.125" customWidth="1" style="43" min="13550" max="13550"/>
    <col width="9.75" customWidth="1" style="43" min="13551" max="13563"/>
    <col width="8.375" customWidth="1" style="43" min="13564" max="13564"/>
    <col width="4.625" customWidth="1" style="43" min="13565" max="13565"/>
    <col width="10.25" customWidth="1" style="43" min="13566" max="13568"/>
    <col width="8.375" customWidth="1" style="43" min="13569" max="13801"/>
    <col width="10.125" customWidth="1" style="43" min="13802" max="13802"/>
    <col width="11" customWidth="1" style="43" min="13803" max="13803"/>
    <col width="7.875" customWidth="1" style="43" min="13804" max="13804"/>
    <col width="9.25" customWidth="1" style="43" min="13805" max="13805"/>
    <col width="0.125" customWidth="1" style="43" min="13806" max="13806"/>
    <col width="9.75" customWidth="1" style="43" min="13807" max="13819"/>
    <col width="8.375" customWidth="1" style="43" min="13820" max="13820"/>
    <col width="4.625" customWidth="1" style="43" min="13821" max="13821"/>
    <col width="10.25" customWidth="1" style="43" min="13822" max="13824"/>
    <col width="8.375" customWidth="1" style="43" min="13825" max="14057"/>
    <col width="10.125" customWidth="1" style="43" min="14058" max="14058"/>
    <col width="11" customWidth="1" style="43" min="14059" max="14059"/>
    <col width="7.875" customWidth="1" style="43" min="14060" max="14060"/>
    <col width="9.25" customWidth="1" style="43" min="14061" max="14061"/>
    <col width="0.125" customWidth="1" style="43" min="14062" max="14062"/>
    <col width="9.75" customWidth="1" style="43" min="14063" max="14075"/>
    <col width="8.375" customWidth="1" style="43" min="14076" max="14076"/>
    <col width="4.625" customWidth="1" style="43" min="14077" max="14077"/>
    <col width="10.25" customWidth="1" style="43" min="14078" max="14080"/>
    <col width="8.375" customWidth="1" style="43" min="14081" max="14313"/>
    <col width="10.125" customWidth="1" style="43" min="14314" max="14314"/>
    <col width="11" customWidth="1" style="43" min="14315" max="14315"/>
    <col width="7.875" customWidth="1" style="43" min="14316" max="14316"/>
    <col width="9.25" customWidth="1" style="43" min="14317" max="14317"/>
    <col width="0.125" customWidth="1" style="43" min="14318" max="14318"/>
    <col width="9.75" customWidth="1" style="43" min="14319" max="14331"/>
    <col width="8.375" customWidth="1" style="43" min="14332" max="14332"/>
    <col width="4.625" customWidth="1" style="43" min="14333" max="14333"/>
    <col width="10.25" customWidth="1" style="43" min="14334" max="14336"/>
    <col width="8.375" customWidth="1" style="43" min="14337" max="14569"/>
    <col width="10.125" customWidth="1" style="43" min="14570" max="14570"/>
    <col width="11" customWidth="1" style="43" min="14571" max="14571"/>
    <col width="7.875" customWidth="1" style="43" min="14572" max="14572"/>
    <col width="9.25" customWidth="1" style="43" min="14573" max="14573"/>
    <col width="0.125" customWidth="1" style="43" min="14574" max="14574"/>
    <col width="9.75" customWidth="1" style="43" min="14575" max="14587"/>
    <col width="8.375" customWidth="1" style="43" min="14588" max="14588"/>
    <col width="4.625" customWidth="1" style="43" min="14589" max="14589"/>
    <col width="10.25" customWidth="1" style="43" min="14590" max="14592"/>
    <col width="8.375" customWidth="1" style="43" min="14593" max="14825"/>
    <col width="10.125" customWidth="1" style="43" min="14826" max="14826"/>
    <col width="11" customWidth="1" style="43" min="14827" max="14827"/>
    <col width="7.875" customWidth="1" style="43" min="14828" max="14828"/>
    <col width="9.25" customWidth="1" style="43" min="14829" max="14829"/>
    <col width="0.125" customWidth="1" style="43" min="14830" max="14830"/>
    <col width="9.75" customWidth="1" style="43" min="14831" max="14843"/>
    <col width="8.375" customWidth="1" style="43" min="14844" max="14844"/>
    <col width="4.625" customWidth="1" style="43" min="14845" max="14845"/>
    <col width="10.25" customWidth="1" style="43" min="14846" max="14848"/>
    <col width="8.375" customWidth="1" style="43" min="14849" max="15081"/>
    <col width="10.125" customWidth="1" style="43" min="15082" max="15082"/>
    <col width="11" customWidth="1" style="43" min="15083" max="15083"/>
    <col width="7.875" customWidth="1" style="43" min="15084" max="15084"/>
    <col width="9.25" customWidth="1" style="43" min="15085" max="15085"/>
    <col width="0.125" customWidth="1" style="43" min="15086" max="15086"/>
    <col width="9.75" customWidth="1" style="43" min="15087" max="15099"/>
    <col width="8.375" customWidth="1" style="43" min="15100" max="15100"/>
    <col width="4.625" customWidth="1" style="43" min="15101" max="15101"/>
    <col width="10.25" customWidth="1" style="43" min="15102" max="15104"/>
    <col width="8.375" customWidth="1" style="43" min="15105" max="15337"/>
    <col width="10.125" customWidth="1" style="43" min="15338" max="15338"/>
    <col width="11" customWidth="1" style="43" min="15339" max="15339"/>
    <col width="7.875" customWidth="1" style="43" min="15340" max="15340"/>
    <col width="9.25" customWidth="1" style="43" min="15341" max="15341"/>
    <col width="0.125" customWidth="1" style="43" min="15342" max="15342"/>
    <col width="9.75" customWidth="1" style="43" min="15343" max="15355"/>
    <col width="8.375" customWidth="1" style="43" min="15356" max="15356"/>
    <col width="4.625" customWidth="1" style="43" min="15357" max="15357"/>
    <col width="10.25" customWidth="1" style="43" min="15358" max="15360"/>
    <col width="8.375" customWidth="1" style="43" min="15361" max="15593"/>
    <col width="10.125" customWidth="1" style="43" min="15594" max="15594"/>
    <col width="11" customWidth="1" style="43" min="15595" max="15595"/>
    <col width="7.875" customWidth="1" style="43" min="15596" max="15596"/>
    <col width="9.25" customWidth="1" style="43" min="15597" max="15597"/>
    <col width="0.125" customWidth="1" style="43" min="15598" max="15598"/>
    <col width="9.75" customWidth="1" style="43" min="15599" max="15611"/>
    <col width="8.375" customWidth="1" style="43" min="15612" max="15612"/>
    <col width="4.625" customWidth="1" style="43" min="15613" max="15613"/>
    <col width="10.25" customWidth="1" style="43" min="15614" max="15616"/>
    <col width="8.375" customWidth="1" style="43" min="15617" max="15849"/>
    <col width="10.125" customWidth="1" style="43" min="15850" max="15850"/>
    <col width="11" customWidth="1" style="43" min="15851" max="15851"/>
    <col width="7.875" customWidth="1" style="43" min="15852" max="15852"/>
    <col width="9.25" customWidth="1" style="43" min="15853" max="15853"/>
    <col width="0.125" customWidth="1" style="43" min="15854" max="15854"/>
    <col width="9.75" customWidth="1" style="43" min="15855" max="15867"/>
    <col width="8.375" customWidth="1" style="43" min="15868" max="15868"/>
    <col width="4.625" customWidth="1" style="43" min="15869" max="15869"/>
    <col width="10.25" customWidth="1" style="43" min="15870" max="15872"/>
    <col width="8.375" customWidth="1" style="43" min="15873" max="16105"/>
    <col width="10.125" customWidth="1" style="43" min="16106" max="16106"/>
    <col width="11" customWidth="1" style="43" min="16107" max="16107"/>
    <col width="7.875" customWidth="1" style="43" min="16108" max="16108"/>
    <col width="9.25" customWidth="1" style="43" min="16109" max="16109"/>
    <col width="0.125" customWidth="1" style="43" min="16110" max="16110"/>
    <col width="9.75" customWidth="1" style="43" min="16111" max="16123"/>
    <col width="8.375" customWidth="1" style="43" min="16124" max="16124"/>
    <col width="4.625" customWidth="1" style="43" min="16125" max="16125"/>
    <col width="10.25" customWidth="1" style="43" min="16126" max="16128"/>
    <col width="8.375" customWidth="1" style="43" min="16129" max="16384"/>
  </cols>
  <sheetData>
    <row r="1" ht="24.95" customHeight="1" s="372">
      <c r="A1" s="161" t="inlineStr">
        <is>
          <t>Part Ⅱ-2. 프로세스 효과성/효율성</t>
        </is>
      </c>
      <c r="I1" s="266" t="n"/>
    </row>
    <row r="2" ht="20.1" customHeight="1" s="372">
      <c r="I2" s="163" t="n"/>
    </row>
    <row r="3" ht="20.1" customHeight="1" s="372">
      <c r="A3" s="327" t="inlineStr">
        <is>
          <t>평가대상
(공정, 제품, 프로세스)</t>
        </is>
      </c>
      <c r="B3" s="329" t="inlineStr">
        <is>
          <t>성과지표</t>
        </is>
      </c>
      <c r="C3" s="331" t="inlineStr">
        <is>
          <t>효과성(목표 대비 실적)</t>
        </is>
      </c>
      <c r="D3" s="405" t="n"/>
      <c r="E3" s="389" t="n"/>
      <c r="F3" s="332" t="inlineStr">
        <is>
          <t>효율성(자원 투입 대비 성과)</t>
        </is>
      </c>
      <c r="G3" s="405" t="n"/>
      <c r="H3" s="389" t="n"/>
      <c r="I3" s="85" t="inlineStr">
        <is>
          <t>비고</t>
        </is>
      </c>
    </row>
    <row r="4" ht="20.1" customHeight="1" s="372">
      <c r="A4" s="375" t="n"/>
      <c r="B4" s="406" t="n"/>
      <c r="C4" s="261" t="inlineStr">
        <is>
          <t>목표</t>
        </is>
      </c>
      <c r="D4" s="261" t="inlineStr">
        <is>
          <t>실적</t>
        </is>
      </c>
      <c r="E4" s="261" t="inlineStr">
        <is>
          <t>달성율</t>
        </is>
      </c>
      <c r="F4" s="262" t="inlineStr">
        <is>
          <t>전년도 성과</t>
        </is>
      </c>
      <c r="G4" s="262" t="inlineStr">
        <is>
          <t>당해년도 성과</t>
        </is>
      </c>
      <c r="H4" s="262" t="inlineStr">
        <is>
          <t>성과(증감)</t>
        </is>
      </c>
      <c r="I4" s="407" t="n"/>
    </row>
    <row r="5" ht="20.1" customHeight="1" s="372">
      <c r="A5" s="164" t="n"/>
      <c r="B5" s="263" t="inlineStr">
        <is>
          <t>인당생산성</t>
        </is>
      </c>
      <c r="C5" s="408" t="n"/>
      <c r="D5" s="409" t="n"/>
      <c r="E5" s="167">
        <f>IFERROR(D5/C5,"")</f>
        <v/>
      </c>
      <c r="F5" s="168" t="n"/>
      <c r="G5" s="168" t="n"/>
      <c r="H5" s="167">
        <f>IFERROR(G5/F5,"")</f>
        <v/>
      </c>
      <c r="I5" s="410" t="n"/>
    </row>
    <row r="6" ht="20.1" customHeight="1" s="372">
      <c r="A6" s="170" t="n"/>
      <c r="B6" s="264" t="inlineStr">
        <is>
          <t>OEE</t>
        </is>
      </c>
      <c r="C6" s="411" t="n"/>
      <c r="D6" s="411" t="n"/>
      <c r="E6" s="172">
        <f>IFERROR(D6/C6,"")</f>
        <v/>
      </c>
      <c r="F6" s="70" t="n"/>
      <c r="G6" s="70" t="n"/>
      <c r="H6" s="172">
        <f>IFERROR(G6/F6,"")</f>
        <v/>
      </c>
      <c r="I6" s="412" t="n"/>
    </row>
    <row r="7" ht="20.1" customHeight="1" s="372">
      <c r="A7" s="170" t="n"/>
      <c r="B7" s="264" t="inlineStr">
        <is>
          <t>에너지 효율</t>
        </is>
      </c>
      <c r="C7" s="411" t="n"/>
      <c r="D7" s="413" t="n"/>
      <c r="E7" s="172">
        <f>IFERROR(D7/C7,"")</f>
        <v/>
      </c>
      <c r="F7" s="386" t="n"/>
      <c r="G7" s="386" t="n"/>
      <c r="H7" s="172">
        <f>IFERROR(G7/F7,"")</f>
        <v/>
      </c>
      <c r="I7" s="412" t="n"/>
    </row>
    <row r="8" ht="20.1" customHeight="1" s="372">
      <c r="A8" s="260" t="n"/>
      <c r="B8" s="264" t="n"/>
      <c r="C8" s="411" t="n"/>
      <c r="D8" s="411" t="n"/>
      <c r="E8" s="172" t="n"/>
      <c r="F8" s="70" t="n"/>
      <c r="G8" s="70" t="n"/>
      <c r="H8" s="172" t="n"/>
      <c r="I8" s="412" t="n"/>
    </row>
    <row r="9" ht="20.1" customHeight="1" s="372">
      <c r="A9" s="170" t="n"/>
      <c r="B9" s="264" t="n"/>
      <c r="C9" s="414" t="n"/>
      <c r="D9" s="414" t="n"/>
      <c r="E9" s="172">
        <f>IFERROR(D9/C9,"")</f>
        <v/>
      </c>
      <c r="F9" s="376" t="n"/>
      <c r="G9" s="376" t="n"/>
      <c r="H9" s="172">
        <f>IFERROR(G9/F9,"")</f>
        <v/>
      </c>
      <c r="I9" s="412" t="n"/>
    </row>
    <row r="10" ht="20.1" customHeight="1" s="372">
      <c r="A10" s="170" t="n"/>
      <c r="B10" s="264" t="n"/>
      <c r="C10" s="414" t="n"/>
      <c r="D10" s="414" t="n"/>
      <c r="E10" s="172" t="n"/>
      <c r="F10" s="376" t="n"/>
      <c r="G10" s="376" t="n"/>
      <c r="H10" s="172" t="n"/>
      <c r="I10" s="412" t="n"/>
    </row>
    <row r="11" ht="20.1" customHeight="1" s="372">
      <c r="A11" s="170" t="n"/>
      <c r="B11" s="264" t="n"/>
      <c r="C11" s="414" t="n"/>
      <c r="D11" s="414" t="n"/>
      <c r="E11" s="172">
        <f>IFERROR(D11/C11,"")</f>
        <v/>
      </c>
      <c r="F11" s="47" t="n"/>
      <c r="G11" s="380" t="n"/>
      <c r="H11" s="172">
        <f>IFERROR(G11/F11,"")</f>
        <v/>
      </c>
      <c r="I11" s="412" t="n"/>
    </row>
    <row r="12" ht="20.1" customHeight="1" s="372">
      <c r="A12" s="170" t="n"/>
      <c r="B12" s="264" t="n"/>
      <c r="C12" s="414" t="n"/>
      <c r="D12" s="414" t="n"/>
      <c r="E12" s="172" t="n"/>
      <c r="F12" s="47" t="n"/>
      <c r="G12" s="380" t="n"/>
      <c r="H12" s="172" t="n"/>
      <c r="I12" s="412" t="n"/>
    </row>
    <row r="13" ht="20.1" customHeight="1" s="372">
      <c r="A13" s="170" t="n"/>
      <c r="B13" s="264" t="n"/>
      <c r="C13" s="411" t="n"/>
      <c r="D13" s="411" t="n"/>
      <c r="E13" s="172">
        <f>IFERROR(D13/C13,"")</f>
        <v/>
      </c>
      <c r="F13" s="65" t="n"/>
      <c r="G13" s="65" t="n"/>
      <c r="H13" s="172">
        <f>IFERROR(G13/F13,"")</f>
        <v/>
      </c>
      <c r="I13" s="412" t="n"/>
    </row>
    <row r="14" ht="20.1" customHeight="1" s="372">
      <c r="A14" s="170" t="n"/>
      <c r="B14" s="264" t="n"/>
      <c r="C14" s="411" t="n"/>
      <c r="D14" s="411" t="n"/>
      <c r="E14" s="172" t="n"/>
      <c r="F14" s="65" t="n"/>
      <c r="G14" s="65" t="n"/>
      <c r="H14" s="172" t="n"/>
      <c r="I14" s="412" t="n"/>
    </row>
    <row r="15" ht="20.1" customHeight="1" s="372">
      <c r="A15" s="170" t="n"/>
      <c r="B15" s="264" t="n"/>
      <c r="C15" s="414" t="n"/>
      <c r="D15" s="414" t="n"/>
      <c r="E15" s="172">
        <f>IFERROR(D15/C15,"")</f>
        <v/>
      </c>
      <c r="F15" s="380" t="n"/>
      <c r="G15" s="380" t="n"/>
      <c r="H15" s="172">
        <f>IFERROR(G15/F15,"")</f>
        <v/>
      </c>
      <c r="I15" s="412" t="n"/>
    </row>
    <row r="16" ht="20.1" customHeight="1" s="372">
      <c r="A16" s="170" t="n"/>
      <c r="B16" s="264" t="n"/>
      <c r="C16" s="411" t="n"/>
      <c r="D16" s="411" t="n"/>
      <c r="E16" s="172" t="n"/>
      <c r="F16" s="70" t="n"/>
      <c r="G16" s="70" t="n"/>
      <c r="H16" s="172" t="n"/>
      <c r="I16" s="412" t="n"/>
    </row>
    <row r="17" ht="20.1" customHeight="1" s="372">
      <c r="A17" s="170" t="n"/>
      <c r="B17" s="264" t="n"/>
      <c r="C17" s="411" t="n"/>
      <c r="D17" s="411" t="n"/>
      <c r="E17" s="172" t="n"/>
      <c r="F17" s="70" t="n"/>
      <c r="G17" s="70" t="n"/>
      <c r="H17" s="172" t="n"/>
      <c r="I17" s="412" t="n"/>
    </row>
    <row r="18" ht="20.1" customHeight="1" s="372">
      <c r="A18" s="176" t="n"/>
      <c r="B18" s="265" t="n"/>
      <c r="C18" s="415" t="n"/>
      <c r="D18" s="415" t="n"/>
      <c r="E18" s="178" t="n"/>
      <c r="F18" s="179" t="n"/>
      <c r="G18" s="179" t="n"/>
      <c r="H18" s="178" t="n"/>
      <c r="I18" s="416" t="n"/>
    </row>
    <row r="19" ht="20.1" customHeight="1" s="372">
      <c r="A19" s="417" t="inlineStr">
        <is>
          <t>효과성 및 효율성 분석 관리에서 획득한 리스크, 개선 및 기회</t>
        </is>
      </c>
      <c r="B19" s="418" t="n"/>
      <c r="C19" s="418" t="n"/>
      <c r="D19" s="418" t="n"/>
      <c r="E19" s="418" t="n"/>
      <c r="F19" s="418" t="n"/>
      <c r="G19" s="418" t="n"/>
      <c r="H19" s="418" t="n"/>
      <c r="I19" s="419" t="n"/>
    </row>
    <row r="20" ht="20.1" customHeight="1" s="372">
      <c r="A20" s="420" t="n"/>
      <c r="I20" s="421" t="n"/>
    </row>
    <row r="21" ht="20.1" customHeight="1" s="372">
      <c r="A21" s="420" t="n"/>
      <c r="I21" s="421" t="n"/>
    </row>
    <row r="22" ht="20.1" customHeight="1" s="372">
      <c r="A22" s="420" t="n"/>
      <c r="I22" s="421" t="n"/>
    </row>
    <row r="23" ht="20.1" customHeight="1" s="372">
      <c r="A23" s="420" t="n"/>
      <c r="I23" s="421" t="n"/>
    </row>
    <row r="24" ht="20.1" customHeight="1" s="372">
      <c r="A24" s="420" t="n"/>
      <c r="I24" s="421" t="n"/>
    </row>
    <row r="25" ht="20.1" customHeight="1" s="372">
      <c r="A25" s="422" t="n"/>
      <c r="B25" s="396" t="n"/>
      <c r="C25" s="396" t="n"/>
      <c r="D25" s="396" t="n"/>
      <c r="E25" s="396" t="n"/>
      <c r="F25" s="396" t="n"/>
      <c r="G25" s="396" t="n"/>
      <c r="H25" s="396" t="n"/>
      <c r="I25" s="423" t="n"/>
    </row>
  </sheetData>
  <mergeCells count="12">
    <mergeCell ref="A25:I25"/>
    <mergeCell ref="A19:I19"/>
    <mergeCell ref="B3:B4"/>
    <mergeCell ref="A3:A4"/>
    <mergeCell ref="I3:I4"/>
    <mergeCell ref="A23:I23"/>
    <mergeCell ref="C3:E3"/>
    <mergeCell ref="A24:I24"/>
    <mergeCell ref="A22:I22"/>
    <mergeCell ref="F3:H3"/>
    <mergeCell ref="A20:I20"/>
    <mergeCell ref="A21:I21"/>
  </mergeCells>
  <printOptions horizontalCentered="1"/>
  <pageMargins left="0.5118110236220472" right="0.5118110236220472" top="0.5905511811023622" bottom="0.3937007874015748" header="0" footer="0"/>
  <pageSetup orientation="landscape" paperSize="9"/>
</worksheet>
</file>

<file path=xl/worksheets/sheet17.xml><?xml version="1.0" encoding="utf-8"?>
<worksheet xmlns="http://schemas.openxmlformats.org/spreadsheetml/2006/main">
  <sheetPr>
    <tabColor rgb="FF0070C0"/>
    <outlinePr summaryBelow="1" summaryRight="1"/>
    <pageSetUpPr/>
  </sheetPr>
  <dimension ref="A1:I25"/>
  <sheetViews>
    <sheetView showGridLines="0" zoomScaleNormal="100" workbookViewId="0">
      <selection activeCell="F29" sqref="F29"/>
    </sheetView>
  </sheetViews>
  <sheetFormatPr baseColWidth="8" defaultColWidth="9.5" defaultRowHeight="20.1" customHeight="1"/>
  <cols>
    <col width="3.625" customWidth="1" style="27" min="1" max="1"/>
    <col width="12.625" customWidth="1" style="27" min="2" max="3"/>
    <col width="8.625" customWidth="1" style="27" min="4" max="4"/>
    <col width="20.625" customWidth="1" style="27" min="5" max="5"/>
    <col width="12.625" customWidth="1" style="27" min="6" max="6"/>
    <col width="28.625" customWidth="1" style="27" min="7" max="7"/>
    <col width="13.125" customWidth="1" style="27" min="8" max="8"/>
    <col width="10.625" customWidth="1" style="361" min="9" max="9"/>
    <col width="9.5" customWidth="1" style="361" min="10" max="16384"/>
  </cols>
  <sheetData>
    <row r="1" ht="24.95" customHeight="1" s="372">
      <c r="A1" s="96" t="inlineStr">
        <is>
          <t>Part Ⅱ-3. 제품 적합성 평가</t>
        </is>
      </c>
      <c r="I1" s="97" t="n"/>
    </row>
    <row r="2" ht="20.1" customHeight="1" s="372">
      <c r="A2" s="98" t="inlineStr">
        <is>
          <t>일상적인 검사 활동의 결과와 지표가 아닌 년간 1~2회 실시하는 제품 심사(Product Audit) 내역 요약</t>
        </is>
      </c>
    </row>
    <row r="3" ht="20.1" customHeight="1" s="372">
      <c r="A3" s="3" t="inlineStr">
        <is>
          <t>No</t>
        </is>
      </c>
      <c r="B3" s="308" t="inlineStr">
        <is>
          <t>평가일정</t>
        </is>
      </c>
      <c r="C3" s="308" t="inlineStr">
        <is>
          <t>제품명/품번</t>
        </is>
      </c>
      <c r="D3" s="308" t="inlineStr">
        <is>
          <t>시료#</t>
        </is>
      </c>
      <c r="E3" s="308" t="inlineStr">
        <is>
          <t>평가/시험/측정 항목</t>
        </is>
      </c>
      <c r="F3" s="308" t="inlineStr">
        <is>
          <t>SPEC.</t>
        </is>
      </c>
      <c r="G3" s="308" t="inlineStr">
        <is>
          <t>측정결과</t>
        </is>
      </c>
      <c r="H3" s="99" t="inlineStr">
        <is>
          <t>적합성판정결과</t>
        </is>
      </c>
      <c r="I3" s="5" t="inlineStr">
        <is>
          <t>특기사항</t>
        </is>
      </c>
    </row>
    <row r="4" ht="20.1" customHeight="1" s="372">
      <c r="A4" s="345" t="n"/>
      <c r="B4" s="17" t="n"/>
      <c r="C4" s="17" t="n"/>
      <c r="D4" s="17" t="n"/>
      <c r="E4" s="17" t="n"/>
      <c r="F4" s="17" t="n"/>
      <c r="G4" s="17" t="n"/>
      <c r="H4" s="100" t="n"/>
      <c r="I4" s="29" t="n"/>
    </row>
    <row r="5" ht="20.1" customHeight="1" s="372">
      <c r="A5" s="37" t="n"/>
      <c r="B5" s="22" t="n"/>
      <c r="C5" s="22" t="n"/>
      <c r="D5" s="22" t="n"/>
      <c r="E5" s="22" t="n"/>
      <c r="F5" s="22" t="n"/>
      <c r="G5" s="22" t="n"/>
      <c r="H5" s="101" t="n"/>
      <c r="I5" s="30" t="n"/>
    </row>
    <row r="6" ht="20.1" customHeight="1" s="372">
      <c r="A6" s="37" t="n"/>
      <c r="B6" s="22" t="n"/>
      <c r="C6" s="22" t="n"/>
      <c r="D6" s="22" t="n"/>
      <c r="E6" s="22" t="n"/>
      <c r="F6" s="22" t="n"/>
      <c r="G6" s="22" t="n"/>
      <c r="H6" s="101" t="n"/>
      <c r="I6" s="30" t="n"/>
    </row>
    <row r="7" ht="20.1" customHeight="1" s="372">
      <c r="A7" s="37" t="n"/>
      <c r="B7" s="22" t="n"/>
      <c r="C7" s="22" t="n"/>
      <c r="D7" s="22" t="n"/>
      <c r="E7" s="22" t="n"/>
      <c r="F7" s="22" t="n"/>
      <c r="G7" s="22" t="n"/>
      <c r="H7" s="101" t="n"/>
      <c r="I7" s="30" t="n"/>
    </row>
    <row r="8" ht="20.1" customHeight="1" s="372">
      <c r="A8" s="37" t="n"/>
      <c r="B8" s="22" t="n"/>
      <c r="C8" s="22" t="n"/>
      <c r="D8" s="22" t="n"/>
      <c r="E8" s="22" t="n"/>
      <c r="F8" s="22" t="n"/>
      <c r="G8" s="22" t="n"/>
      <c r="H8" s="101" t="n"/>
      <c r="I8" s="30" t="n"/>
    </row>
    <row r="9" ht="20.1" customHeight="1" s="372">
      <c r="A9" s="37" t="n"/>
      <c r="B9" s="22" t="n"/>
      <c r="C9" s="22" t="n"/>
      <c r="D9" s="22" t="n"/>
      <c r="E9" s="22" t="n"/>
      <c r="F9" s="22" t="n"/>
      <c r="G9" s="22" t="n"/>
      <c r="H9" s="101" t="n"/>
      <c r="I9" s="30" t="n"/>
    </row>
    <row r="10" ht="20.1" customHeight="1" s="372">
      <c r="A10" s="37" t="n"/>
      <c r="B10" s="22" t="n"/>
      <c r="C10" s="22" t="n"/>
      <c r="D10" s="22" t="n"/>
      <c r="E10" s="22" t="n"/>
      <c r="F10" s="22" t="n"/>
      <c r="G10" s="22" t="n"/>
      <c r="H10" s="101" t="n"/>
      <c r="I10" s="30" t="n"/>
    </row>
    <row r="11" ht="20.1" customHeight="1" s="372">
      <c r="A11" s="37" t="n"/>
      <c r="B11" s="22" t="n"/>
      <c r="C11" s="22" t="n"/>
      <c r="D11" s="22" t="n"/>
      <c r="E11" s="22" t="n"/>
      <c r="F11" s="22" t="n"/>
      <c r="G11" s="22" t="n"/>
      <c r="H11" s="101" t="n"/>
      <c r="I11" s="30" t="n"/>
    </row>
    <row r="12" ht="20.1" customHeight="1" s="372">
      <c r="A12" s="37" t="n"/>
      <c r="B12" s="22" t="n"/>
      <c r="C12" s="22" t="n"/>
      <c r="D12" s="22" t="n"/>
      <c r="E12" s="22" t="n"/>
      <c r="F12" s="22" t="n"/>
      <c r="G12" s="22" t="n"/>
      <c r="H12" s="101" t="n"/>
      <c r="I12" s="30" t="n"/>
    </row>
    <row r="13" ht="20.1" customHeight="1" s="372">
      <c r="A13" s="37" t="n"/>
      <c r="B13" s="22" t="n"/>
      <c r="C13" s="22" t="n"/>
      <c r="D13" s="22" t="n"/>
      <c r="E13" s="22" t="n"/>
      <c r="F13" s="22" t="n"/>
      <c r="G13" s="22" t="n"/>
      <c r="H13" s="101" t="n"/>
      <c r="I13" s="30" t="n"/>
    </row>
    <row r="14" ht="20.1" customHeight="1" s="372">
      <c r="A14" s="37" t="n"/>
      <c r="B14" s="22" t="n"/>
      <c r="C14" s="22" t="n"/>
      <c r="D14" s="22" t="n"/>
      <c r="E14" s="22" t="n"/>
      <c r="F14" s="22" t="n"/>
      <c r="G14" s="22" t="n"/>
      <c r="H14" s="101" t="n"/>
      <c r="I14" s="30" t="n"/>
    </row>
    <row r="15" ht="20.1" customHeight="1" s="372">
      <c r="A15" s="37" t="n"/>
      <c r="B15" s="22" t="n"/>
      <c r="C15" s="22" t="n"/>
      <c r="D15" s="22" t="n"/>
      <c r="E15" s="22" t="n"/>
      <c r="F15" s="22" t="n"/>
      <c r="G15" s="22" t="n"/>
      <c r="H15" s="101" t="n"/>
      <c r="I15" s="30" t="n"/>
    </row>
    <row r="16" ht="20.1" customHeight="1" s="372">
      <c r="A16" s="37" t="n"/>
      <c r="B16" s="22" t="n"/>
      <c r="C16" s="22" t="n"/>
      <c r="D16" s="22" t="n"/>
      <c r="E16" s="22" t="n"/>
      <c r="F16" s="22" t="n"/>
      <c r="G16" s="22" t="n"/>
      <c r="H16" s="101" t="n"/>
      <c r="I16" s="30" t="n"/>
    </row>
    <row r="17" ht="20.1" customHeight="1" s="372">
      <c r="A17" s="37" t="n"/>
      <c r="B17" s="22" t="n"/>
      <c r="C17" s="22" t="n"/>
      <c r="D17" s="22" t="n"/>
      <c r="E17" s="22" t="n"/>
      <c r="F17" s="22" t="n"/>
      <c r="G17" s="22" t="n"/>
      <c r="H17" s="101" t="n"/>
      <c r="I17" s="30" t="n"/>
    </row>
    <row r="18" ht="20.1" customHeight="1" s="372">
      <c r="A18" s="37" t="n"/>
      <c r="B18" s="22" t="n"/>
      <c r="C18" s="22" t="n"/>
      <c r="D18" s="22" t="n"/>
      <c r="E18" s="22" t="n"/>
      <c r="F18" s="22" t="n"/>
      <c r="G18" s="22" t="n"/>
      <c r="H18" s="101" t="n"/>
      <c r="I18" s="30" t="n"/>
    </row>
    <row r="19" ht="20.1" customHeight="1" s="372">
      <c r="A19" s="37" t="n"/>
      <c r="B19" s="22" t="n"/>
      <c r="C19" s="22" t="n"/>
      <c r="D19" s="22" t="n"/>
      <c r="E19" s="22" t="n"/>
      <c r="F19" s="22" t="n"/>
      <c r="G19" s="22" t="n"/>
      <c r="H19" s="101" t="n"/>
      <c r="I19" s="30" t="n"/>
    </row>
    <row r="20" ht="20.1" customHeight="1" s="372">
      <c r="A20" s="37" t="n"/>
      <c r="B20" s="22" t="n"/>
      <c r="C20" s="22" t="n"/>
      <c r="D20" s="22" t="n"/>
      <c r="E20" s="22" t="n"/>
      <c r="F20" s="22" t="n"/>
      <c r="G20" s="22" t="n"/>
      <c r="H20" s="101" t="n"/>
      <c r="I20" s="30" t="n"/>
    </row>
    <row r="21" ht="20.1" customHeight="1" s="372">
      <c r="A21" s="37" t="n"/>
      <c r="B21" s="22" t="n"/>
      <c r="C21" s="22" t="n"/>
      <c r="D21" s="22" t="n"/>
      <c r="E21" s="22" t="n"/>
      <c r="F21" s="22" t="n"/>
      <c r="G21" s="22" t="n"/>
      <c r="H21" s="101" t="n"/>
      <c r="I21" s="30" t="n"/>
    </row>
    <row r="22" ht="20.1" customHeight="1" s="372">
      <c r="A22" s="37" t="n"/>
      <c r="B22" s="22" t="n"/>
      <c r="C22" s="22" t="n"/>
      <c r="D22" s="22" t="n"/>
      <c r="E22" s="22" t="n"/>
      <c r="F22" s="22" t="n"/>
      <c r="G22" s="22" t="n"/>
      <c r="H22" s="101" t="n"/>
      <c r="I22" s="30" t="n"/>
    </row>
    <row r="23" ht="20.1" customHeight="1" s="372">
      <c r="A23" s="37" t="n"/>
      <c r="B23" s="22" t="n"/>
      <c r="C23" s="22" t="n"/>
      <c r="D23" s="22" t="n"/>
      <c r="E23" s="22" t="n"/>
      <c r="F23" s="22" t="n"/>
      <c r="G23" s="22" t="n"/>
      <c r="H23" s="101" t="n"/>
      <c r="I23" s="30" t="n"/>
    </row>
    <row r="24" ht="20.1" customHeight="1" s="372">
      <c r="A24" s="37" t="n"/>
      <c r="B24" s="22" t="n"/>
      <c r="C24" s="22" t="n"/>
      <c r="D24" s="22" t="n"/>
      <c r="E24" s="22" t="n"/>
      <c r="F24" s="22" t="n"/>
      <c r="G24" s="22" t="n"/>
      <c r="H24" s="101" t="n"/>
      <c r="I24" s="30" t="n"/>
    </row>
    <row r="25" ht="20.1" customHeight="1" s="372">
      <c r="A25" s="102" t="n"/>
      <c r="B25" s="103" t="n"/>
      <c r="C25" s="103" t="n"/>
      <c r="D25" s="103" t="n"/>
      <c r="E25" s="103" t="n"/>
      <c r="F25" s="103" t="n"/>
      <c r="G25" s="103" t="n"/>
      <c r="H25" s="104" t="n"/>
      <c r="I25" s="105" t="n"/>
    </row>
  </sheetData>
  <printOptions horizontalCentered="1"/>
  <pageMargins left="0.5118110236220472" right="0.5118110236220472" top="0.5905511811023622" bottom="0.3937007874015748" header="0" footer="0"/>
  <pageSetup orientation="landscape" paperSize="9"/>
</worksheet>
</file>

<file path=xl/worksheets/sheet18.xml><?xml version="1.0" encoding="utf-8"?>
<worksheet xmlns="http://schemas.openxmlformats.org/spreadsheetml/2006/main">
  <sheetPr>
    <tabColor rgb="FF0070C0"/>
    <outlinePr summaryBelow="1" summaryRight="1"/>
    <pageSetUpPr/>
  </sheetPr>
  <dimension ref="A1:G24"/>
  <sheetViews>
    <sheetView showGridLines="0" zoomScaleNormal="100" workbookViewId="0">
      <selection activeCell="C32" sqref="C32"/>
    </sheetView>
  </sheetViews>
  <sheetFormatPr baseColWidth="8" defaultColWidth="9.5" defaultRowHeight="20.1" customHeight="1"/>
  <cols>
    <col width="5.125" customWidth="1" style="27" min="1" max="1"/>
    <col width="20.25" customWidth="1" style="27" min="2" max="2"/>
    <col width="14.375" customWidth="1" style="27" min="3" max="3"/>
    <col width="16.5" customWidth="1" style="27" min="4" max="4"/>
    <col width="28.75" customWidth="1" style="27" min="5" max="5"/>
    <col width="23.25" customWidth="1" style="27" min="6" max="6"/>
    <col width="16.5" customWidth="1" style="361" min="7" max="7"/>
    <col width="9.5" customWidth="1" style="361" min="8" max="16384"/>
  </cols>
  <sheetData>
    <row r="1" ht="24.95" customHeight="1" s="372">
      <c r="A1" s="96" t="inlineStr">
        <is>
          <t>Part Ⅱ-4. 신규 공정, 설비, 제품 제조 타당성 확인 및 평가</t>
        </is>
      </c>
      <c r="G1" s="97" t="n"/>
    </row>
    <row r="2"/>
    <row r="3" ht="20.1" customHeight="1" s="372">
      <c r="A3" s="3" t="inlineStr">
        <is>
          <t>No.</t>
        </is>
      </c>
      <c r="B3" s="308" t="inlineStr">
        <is>
          <t>제품명</t>
        </is>
      </c>
      <c r="C3" s="308" t="inlineStr">
        <is>
          <t>고객사</t>
        </is>
      </c>
      <c r="D3" s="308" t="inlineStr">
        <is>
          <t>검토기간 (개발 기간)</t>
        </is>
      </c>
      <c r="E3" s="308" t="inlineStr">
        <is>
          <t>제조 타당성 검토 내역</t>
        </is>
      </c>
      <c r="F3" s="99" t="inlineStr">
        <is>
          <t>개발 및 생산 현황(수량, 이익)</t>
        </is>
      </c>
      <c r="G3" s="5" t="inlineStr">
        <is>
          <t>검토내용 유효성</t>
        </is>
      </c>
    </row>
    <row r="4" ht="20.1" customHeight="1" s="372">
      <c r="A4" s="345" t="n"/>
      <c r="B4" s="17" t="n"/>
      <c r="C4" s="17" t="n"/>
      <c r="D4" s="17" t="n"/>
      <c r="E4" s="304" t="n"/>
      <c r="F4" s="100" t="n"/>
      <c r="G4" s="29" t="n"/>
    </row>
    <row r="5" ht="20.1" customHeight="1" s="372">
      <c r="A5" s="37" t="n"/>
      <c r="B5" s="22" t="n"/>
      <c r="C5" s="22" t="n"/>
      <c r="D5" s="22" t="n"/>
      <c r="E5" s="267" t="inlineStr">
        <is>
          <t>공정능력(Cpk)</t>
        </is>
      </c>
      <c r="F5" s="268" t="inlineStr">
        <is>
          <t>개발 후 양산 시점과 생산 수량</t>
        </is>
      </c>
      <c r="G5" s="270" t="inlineStr">
        <is>
          <t>검토 내역의 유효성</t>
        </is>
      </c>
    </row>
    <row r="6" ht="20.1" customHeight="1" s="372">
      <c r="A6" s="37" t="n"/>
      <c r="B6" s="22" t="n"/>
      <c r="C6" s="22" t="n"/>
      <c r="D6" s="22" t="n"/>
      <c r="E6" s="267" t="inlineStr">
        <is>
          <t>생산(CAPA) 등</t>
        </is>
      </c>
      <c r="F6" s="268" t="inlineStr">
        <is>
          <t>개발 이익과 경제성 등</t>
        </is>
      </c>
      <c r="G6" s="270" t="n"/>
    </row>
    <row r="7" ht="20.1" customHeight="1" s="372">
      <c r="A7" s="37" t="n"/>
      <c r="B7" s="22" t="n"/>
      <c r="C7" s="22" t="n"/>
      <c r="D7" s="22" t="n"/>
      <c r="E7" s="267" t="inlineStr">
        <is>
          <t>주요 검토 내용과 결과 요약 기입</t>
        </is>
      </c>
      <c r="F7" s="269" t="n"/>
      <c r="G7" s="270" t="n"/>
    </row>
    <row r="8" ht="20.1" customHeight="1" s="372">
      <c r="A8" s="37" t="n"/>
      <c r="B8" s="22" t="n"/>
      <c r="C8" s="22" t="n"/>
      <c r="D8" s="22" t="n"/>
      <c r="E8" s="302" t="n"/>
      <c r="F8" s="101" t="n"/>
      <c r="G8" s="30" t="n"/>
    </row>
    <row r="9" ht="20.1" customHeight="1" s="372">
      <c r="A9" s="37" t="n"/>
      <c r="B9" s="22" t="n"/>
      <c r="C9" s="22" t="n"/>
      <c r="D9" s="22" t="n"/>
      <c r="E9" s="302" t="n"/>
      <c r="F9" s="101" t="n"/>
      <c r="G9" s="30" t="n"/>
    </row>
    <row r="10" ht="20.1" customHeight="1" s="372">
      <c r="A10" s="37" t="n"/>
      <c r="B10" s="22" t="n"/>
      <c r="C10" s="22" t="n"/>
      <c r="D10" s="22" t="n"/>
      <c r="E10" s="302" t="n"/>
      <c r="F10" s="101" t="n"/>
      <c r="G10" s="30" t="n"/>
    </row>
    <row r="11" ht="20.1" customHeight="1" s="372">
      <c r="A11" s="37" t="n"/>
      <c r="B11" s="22" t="n"/>
      <c r="C11" s="22" t="n"/>
      <c r="D11" s="22" t="n"/>
      <c r="E11" s="302" t="n"/>
      <c r="F11" s="101" t="n"/>
      <c r="G11" s="30" t="n"/>
    </row>
    <row r="12" ht="20.1" customHeight="1" s="372">
      <c r="A12" s="37" t="n"/>
      <c r="B12" s="22" t="n"/>
      <c r="C12" s="22" t="n"/>
      <c r="D12" s="22" t="n"/>
      <c r="E12" s="302" t="n"/>
      <c r="F12" s="101" t="n"/>
      <c r="G12" s="30" t="n"/>
    </row>
    <row r="13" ht="20.1" customHeight="1" s="372">
      <c r="A13" s="37" t="n"/>
      <c r="B13" s="22" t="n"/>
      <c r="C13" s="22" t="n"/>
      <c r="D13" s="22" t="n"/>
      <c r="E13" s="302" t="n"/>
      <c r="F13" s="101" t="n"/>
      <c r="G13" s="30" t="n"/>
    </row>
    <row r="14" ht="20.1" customHeight="1" s="372">
      <c r="A14" s="37" t="n"/>
      <c r="B14" s="22" t="n"/>
      <c r="C14" s="22" t="n"/>
      <c r="D14" s="22" t="n"/>
      <c r="E14" s="302" t="n"/>
      <c r="F14" s="101" t="n"/>
      <c r="G14" s="30" t="n"/>
    </row>
    <row r="15" ht="20.1" customHeight="1" s="372">
      <c r="A15" s="37" t="n"/>
      <c r="B15" s="22" t="n"/>
      <c r="C15" s="22" t="n"/>
      <c r="D15" s="22" t="n"/>
      <c r="E15" s="302" t="n"/>
      <c r="F15" s="101" t="n"/>
      <c r="G15" s="30" t="n"/>
    </row>
    <row r="16" ht="20.1" customHeight="1" s="372">
      <c r="A16" s="37" t="n"/>
      <c r="B16" s="22" t="n"/>
      <c r="C16" s="22" t="n"/>
      <c r="D16" s="22" t="n"/>
      <c r="E16" s="302" t="n"/>
      <c r="F16" s="101" t="n"/>
      <c r="G16" s="30" t="n"/>
    </row>
    <row r="17" ht="20.1" customHeight="1" s="372">
      <c r="A17" s="37" t="n"/>
      <c r="B17" s="22" t="n"/>
      <c r="C17" s="22" t="n"/>
      <c r="D17" s="22" t="n"/>
      <c r="E17" s="302" t="n"/>
      <c r="F17" s="101" t="n"/>
      <c r="G17" s="30" t="n"/>
    </row>
    <row r="18" ht="20.1" customHeight="1" s="372">
      <c r="A18" s="37" t="n"/>
      <c r="B18" s="22" t="n"/>
      <c r="C18" s="22" t="n"/>
      <c r="D18" s="22" t="n"/>
      <c r="E18" s="302" t="n"/>
      <c r="F18" s="101" t="n"/>
      <c r="G18" s="30" t="n"/>
    </row>
    <row r="19" ht="20.1" customHeight="1" s="372">
      <c r="A19" s="37" t="n"/>
      <c r="B19" s="22" t="n"/>
      <c r="C19" s="22" t="n"/>
      <c r="D19" s="22" t="n"/>
      <c r="E19" s="302" t="n"/>
      <c r="F19" s="101" t="n"/>
      <c r="G19" s="30" t="n"/>
    </row>
    <row r="20" ht="20.1" customHeight="1" s="372">
      <c r="A20" s="424" t="inlineStr">
        <is>
          <t>제품 요구사항 및 제조 타당성 검토 주요 특기 사항</t>
        </is>
      </c>
      <c r="B20" s="418" t="n"/>
      <c r="C20" s="418" t="n"/>
      <c r="D20" s="418" t="n"/>
      <c r="E20" s="418" t="n"/>
      <c r="F20" s="418" t="n"/>
      <c r="G20" s="419" t="n"/>
    </row>
    <row r="21" ht="20.1" customHeight="1" s="372">
      <c r="A21" s="425" t="n"/>
      <c r="G21" s="421" t="n"/>
    </row>
    <row r="22" ht="20.1" customHeight="1" s="372">
      <c r="A22" s="425" t="n"/>
      <c r="G22" s="421" t="n"/>
    </row>
    <row r="23" ht="20.1" customHeight="1" s="372">
      <c r="A23" s="425" t="n"/>
      <c r="G23" s="421" t="n"/>
    </row>
    <row r="24" ht="20.1" customHeight="1" s="372">
      <c r="A24" s="426" t="n"/>
      <c r="B24" s="396" t="n"/>
      <c r="C24" s="396" t="n"/>
      <c r="D24" s="396" t="n"/>
      <c r="E24" s="396" t="n"/>
      <c r="F24" s="396" t="n"/>
      <c r="G24" s="423" t="n"/>
    </row>
  </sheetData>
  <mergeCells count="5">
    <mergeCell ref="A21:G21"/>
    <mergeCell ref="A22:G22"/>
    <mergeCell ref="A20:G20"/>
    <mergeCell ref="A24:G24"/>
    <mergeCell ref="A23:G23"/>
  </mergeCells>
  <printOptions horizontalCentered="1"/>
  <pageMargins left="0.5118110236220472" right="0.5118110236220472" top="0.5905511811023622" bottom="0.3937007874015748" header="0" footer="0"/>
  <pageSetup orientation="landscape" paperSize="9"/>
</worksheet>
</file>

<file path=xl/worksheets/sheet19.xml><?xml version="1.0" encoding="utf-8"?>
<worksheet xmlns="http://schemas.openxmlformats.org/spreadsheetml/2006/main">
  <sheetPr>
    <tabColor theme="4"/>
    <outlinePr summaryBelow="1" summaryRight="1"/>
    <pageSetUpPr/>
  </sheetPr>
  <dimension ref="A1:G23"/>
  <sheetViews>
    <sheetView showGridLines="0" zoomScaleNormal="100" workbookViewId="0">
      <selection activeCell="A21" sqref="A21:G21"/>
    </sheetView>
  </sheetViews>
  <sheetFormatPr baseColWidth="8" defaultColWidth="9.5" defaultRowHeight="20.1" customHeight="1"/>
  <cols>
    <col width="16.875" customWidth="1" style="337" min="1" max="1"/>
    <col width="20.625" customWidth="1" style="337" min="2" max="2"/>
    <col width="10.625" customWidth="1" style="337" min="3" max="4"/>
    <col width="30.625" customWidth="1" style="337" min="5" max="5"/>
    <col width="23.5" customWidth="1" style="337" min="6" max="6"/>
    <col width="11.75" customWidth="1" style="337" min="7" max="7"/>
    <col width="9.5" customWidth="1" style="337" min="8" max="16384"/>
  </cols>
  <sheetData>
    <row r="1" ht="20.1" customHeight="1" s="372">
      <c r="A1" s="96" t="inlineStr">
        <is>
          <t>Part Ⅱ-5. 고객만족도 및 점수</t>
        </is>
      </c>
    </row>
    <row r="2"/>
    <row r="3" ht="20.1" customHeight="1" s="372">
      <c r="A3" s="3" t="inlineStr">
        <is>
          <t>고객명</t>
        </is>
      </c>
      <c r="B3" s="308" t="inlineStr">
        <is>
          <t>평가 구분</t>
        </is>
      </c>
      <c r="C3" s="308" t="inlineStr">
        <is>
          <t>금년 평가 점수</t>
        </is>
      </c>
      <c r="D3" s="308" t="inlineStr">
        <is>
          <t>이전 평가 점수</t>
        </is>
      </c>
      <c r="E3" s="308" t="inlineStr">
        <is>
          <t>주요 평가 내용(고객 요구사항)</t>
        </is>
      </c>
      <c r="F3" s="308" t="inlineStr">
        <is>
          <t>대응 및 조치 내역</t>
        </is>
      </c>
      <c r="G3" s="5" t="inlineStr">
        <is>
          <t>주관부서</t>
        </is>
      </c>
    </row>
    <row r="4" ht="30" customHeight="1" s="372">
      <c r="A4" s="300" t="n"/>
      <c r="B4" s="427" t="inlineStr">
        <is>
          <t>고객 스코어카드
(Customer Scorecard)</t>
        </is>
      </c>
      <c r="C4" s="428" t="n"/>
      <c r="D4" s="428" t="n"/>
      <c r="E4" s="7" t="n"/>
      <c r="F4" s="7" t="n"/>
      <c r="G4" s="279" t="n"/>
    </row>
    <row r="5" ht="20.1" customHeight="1" s="372">
      <c r="A5" s="374" t="n"/>
      <c r="B5" s="275" t="inlineStr">
        <is>
          <t>자체평가(대체 평가)</t>
        </is>
      </c>
      <c r="C5" s="428" t="n"/>
      <c r="D5" s="428" t="n"/>
      <c r="E5" s="7" t="n"/>
      <c r="F5" s="7" t="n"/>
      <c r="G5" s="279" t="n"/>
    </row>
    <row r="6" ht="20.1" customHeight="1" s="372">
      <c r="A6" s="375" t="n"/>
      <c r="B6" s="281" t="inlineStr">
        <is>
          <t>기타 평가</t>
        </is>
      </c>
      <c r="C6" s="429" t="n"/>
      <c r="D6" s="429" t="n"/>
      <c r="E6" s="304" t="n"/>
      <c r="F6" s="304" t="n"/>
      <c r="G6" s="36" t="n"/>
    </row>
    <row r="7" ht="30" customHeight="1" s="372">
      <c r="A7" s="346" t="n"/>
      <c r="B7" s="430" t="inlineStr">
        <is>
          <t>고객 스코어카드
(Customer Scorecard)</t>
        </is>
      </c>
      <c r="C7" s="431" t="n"/>
      <c r="D7" s="431" t="n"/>
      <c r="E7" s="287" t="n"/>
      <c r="F7" s="287" t="n"/>
      <c r="G7" s="277" t="n"/>
    </row>
    <row r="8" ht="20.1" customHeight="1" s="372">
      <c r="A8" s="374" t="n"/>
      <c r="B8" s="275" t="inlineStr">
        <is>
          <t>자체평가(대체 평가)</t>
        </is>
      </c>
      <c r="C8" s="428" t="n"/>
      <c r="D8" s="428" t="n"/>
      <c r="E8" s="7" t="n"/>
      <c r="F8" s="7" t="n"/>
      <c r="G8" s="279" t="n"/>
    </row>
    <row r="9" ht="20.1" customHeight="1" s="372">
      <c r="A9" s="375" t="n"/>
      <c r="B9" s="281" t="inlineStr">
        <is>
          <t>기타 평가</t>
        </is>
      </c>
      <c r="C9" s="429" t="n"/>
      <c r="D9" s="429" t="n"/>
      <c r="E9" s="304" t="n"/>
      <c r="F9" s="304" t="n"/>
      <c r="G9" s="36" t="n"/>
    </row>
    <row r="10" ht="30" customHeight="1" s="372">
      <c r="A10" s="346" t="n"/>
      <c r="B10" s="430" t="inlineStr">
        <is>
          <t>고객 스코어카드
(Customer Scorecard)</t>
        </is>
      </c>
      <c r="C10" s="431" t="n"/>
      <c r="D10" s="431" t="n"/>
      <c r="E10" s="287" t="n"/>
      <c r="F10" s="287" t="n"/>
      <c r="G10" s="277" t="n"/>
    </row>
    <row r="11" ht="20.1" customHeight="1" s="372">
      <c r="A11" s="374" t="n"/>
      <c r="B11" s="275" t="inlineStr">
        <is>
          <t>자체평가(대체 평가)</t>
        </is>
      </c>
      <c r="C11" s="428" t="n"/>
      <c r="D11" s="428" t="n"/>
      <c r="E11" s="7" t="n"/>
      <c r="F11" s="7" t="n"/>
      <c r="G11" s="279" t="n"/>
    </row>
    <row r="12" ht="20.1" customHeight="1" s="372">
      <c r="A12" s="375" t="n"/>
      <c r="B12" s="276" t="inlineStr">
        <is>
          <t>기타 평가</t>
        </is>
      </c>
      <c r="C12" s="432" t="n"/>
      <c r="D12" s="432" t="n"/>
      <c r="E12" s="10" t="n"/>
      <c r="F12" s="10" t="n"/>
      <c r="G12" s="280" t="n"/>
    </row>
    <row r="13" ht="30" customHeight="1" s="372">
      <c r="A13" s="347" t="n"/>
      <c r="B13" s="433" t="inlineStr">
        <is>
          <t>고객 스코어카드
(Customer Scorecard)</t>
        </is>
      </c>
      <c r="C13" s="434" t="n"/>
      <c r="D13" s="434" t="n"/>
      <c r="E13" s="90" t="n"/>
      <c r="F13" s="90" t="n"/>
      <c r="G13" s="285" t="n"/>
    </row>
    <row r="14" ht="20.1" customHeight="1" s="372">
      <c r="A14" s="374" t="n"/>
      <c r="B14" s="275" t="inlineStr">
        <is>
          <t>자체평가(대체 평가)</t>
        </is>
      </c>
      <c r="C14" s="428" t="n"/>
      <c r="D14" s="428" t="n"/>
      <c r="E14" s="7" t="n"/>
      <c r="F14" s="7" t="n"/>
      <c r="G14" s="279" t="n"/>
    </row>
    <row r="15" ht="20.1" customHeight="1" s="372">
      <c r="A15" s="375" t="n"/>
      <c r="B15" s="276" t="inlineStr">
        <is>
          <t>기타 평가</t>
        </is>
      </c>
      <c r="C15" s="432" t="n"/>
      <c r="D15" s="432" t="n"/>
      <c r="E15" s="10" t="n"/>
      <c r="F15" s="10" t="n"/>
      <c r="G15" s="280" t="n"/>
    </row>
    <row r="16" ht="30" customHeight="1" s="372">
      <c r="A16" s="347" t="n"/>
      <c r="B16" s="433" t="inlineStr">
        <is>
          <t>고객 스코어카드
(Customer Scorecard)</t>
        </is>
      </c>
      <c r="C16" s="434" t="n"/>
      <c r="D16" s="434" t="n"/>
      <c r="E16" s="90" t="n"/>
      <c r="F16" s="90" t="n"/>
      <c r="G16" s="285" t="n"/>
    </row>
    <row r="17" ht="20.1" customHeight="1" s="372">
      <c r="A17" s="374" t="n"/>
      <c r="B17" s="275" t="inlineStr">
        <is>
          <t>자체평가(대체 평가)</t>
        </is>
      </c>
      <c r="C17" s="428" t="n"/>
      <c r="D17" s="428" t="n"/>
      <c r="E17" s="7" t="n"/>
      <c r="F17" s="7" t="n"/>
      <c r="G17" s="279" t="n"/>
    </row>
    <row r="18" ht="20.1" customHeight="1" s="372">
      <c r="A18" s="375" t="n"/>
      <c r="B18" s="276" t="inlineStr">
        <is>
          <t>기타 평가</t>
        </is>
      </c>
      <c r="C18" s="432" t="n"/>
      <c r="D18" s="432" t="n"/>
      <c r="E18" s="10" t="n"/>
      <c r="F18" s="10" t="n"/>
      <c r="G18" s="280" t="n"/>
    </row>
    <row r="19" ht="20.1" customHeight="1" s="372">
      <c r="A19" s="435" t="inlineStr">
        <is>
          <t>고객 만족도 관리(고객 평가) 주요 사항</t>
        </is>
      </c>
      <c r="B19" s="418" t="n"/>
      <c r="C19" s="418" t="n"/>
      <c r="D19" s="418" t="n"/>
      <c r="E19" s="418" t="n"/>
      <c r="F19" s="418" t="n"/>
      <c r="G19" s="419" t="n"/>
    </row>
    <row r="20" ht="20.1" customHeight="1" s="372">
      <c r="A20" s="436" t="inlineStr">
        <is>
          <t>(예시 : 고객의 평가가 품질, 재정 건전성 등 고전적 지표에서 ESG 기반의 지속 경영 가능성 위주로 평가가 기준이 바뀌고 있음)</t>
        </is>
      </c>
      <c r="G20" s="421" t="n"/>
    </row>
    <row r="21" ht="20.1" customHeight="1" s="372">
      <c r="A21" s="425" t="n"/>
      <c r="G21" s="421" t="n"/>
    </row>
    <row r="22" ht="20.1" customHeight="1" s="372">
      <c r="A22" s="425" t="n"/>
      <c r="G22" s="421" t="n"/>
    </row>
    <row r="23" ht="20.1" customHeight="1" s="372">
      <c r="A23" s="426" t="n"/>
      <c r="B23" s="396" t="n"/>
      <c r="C23" s="396" t="n"/>
      <c r="D23" s="396" t="n"/>
      <c r="E23" s="396" t="n"/>
      <c r="F23" s="396" t="n"/>
      <c r="G23" s="423" t="n"/>
    </row>
  </sheetData>
  <mergeCells count="10">
    <mergeCell ref="A7:A9"/>
    <mergeCell ref="A4:A6"/>
    <mergeCell ref="A16:A18"/>
    <mergeCell ref="A21:G21"/>
    <mergeCell ref="A22:G22"/>
    <mergeCell ref="A10:A12"/>
    <mergeCell ref="A20:G20"/>
    <mergeCell ref="A19:G19"/>
    <mergeCell ref="A13:A15"/>
    <mergeCell ref="A23:G23"/>
  </mergeCells>
  <printOptions horizontalCentered="1"/>
  <pageMargins left="0.5118110236220472" right="0.5118110236220472" top="0.5905511811023622" bottom="0.3937007874015748" header="0" footer="0"/>
  <pageSetup orientation="landscape" paperSize="9"/>
</worksheet>
</file>

<file path=xl/worksheets/sheet20.xml><?xml version="1.0" encoding="utf-8"?>
<worksheet xmlns="http://schemas.openxmlformats.org/spreadsheetml/2006/main">
  <sheetPr>
    <tabColor rgb="FF0070C0"/>
    <outlinePr summaryBelow="1" summaryRight="1"/>
    <pageSetUpPr/>
  </sheetPr>
  <dimension ref="A1:N31"/>
  <sheetViews>
    <sheetView showGridLines="0" zoomScaleNormal="100" workbookViewId="0">
      <selection activeCell="G2" sqref="G2"/>
    </sheetView>
  </sheetViews>
  <sheetFormatPr baseColWidth="8" defaultColWidth="5.125" defaultRowHeight="16.15" customHeight="1"/>
  <cols>
    <col width="11.5" customWidth="1" style="361" min="1" max="1"/>
    <col width="10.5" customWidth="1" style="361" min="2" max="2"/>
    <col width="8.125" customWidth="1" style="361" min="3" max="14"/>
    <col width="5.125" customWidth="1" style="361" min="15" max="16384"/>
  </cols>
  <sheetData>
    <row r="1" ht="16.15" customHeight="1" s="372">
      <c r="A1" s="12" t="inlineStr">
        <is>
          <t>Part Ⅱ-6. 보존 목표 대비 성과(검토)</t>
        </is>
      </c>
      <c r="N1" s="144" t="n"/>
    </row>
    <row r="2" ht="16.15" customHeight="1" s="372">
      <c r="A2" s="12" t="n"/>
      <c r="N2" s="144" t="n"/>
    </row>
    <row r="3" ht="16.15" customHeight="1" s="372">
      <c r="A3" s="92" t="n"/>
      <c r="B3" s="93" t="n"/>
      <c r="C3" s="93" t="n"/>
      <c r="D3" s="93" t="n"/>
      <c r="E3" s="93" t="n"/>
      <c r="F3" s="93" t="n"/>
      <c r="G3" s="93" t="n"/>
      <c r="H3" s="93" t="n"/>
      <c r="I3" s="93" t="n"/>
      <c r="J3" s="93" t="n"/>
      <c r="K3" s="93" t="n"/>
      <c r="L3" s="93" t="n"/>
      <c r="M3" s="93" t="n"/>
      <c r="N3" s="94" t="n"/>
    </row>
    <row r="4" ht="16.15" customHeight="1" s="372">
      <c r="A4" s="360" t="n"/>
      <c r="N4" s="362" t="n"/>
    </row>
    <row r="5" ht="16.15" customHeight="1" s="372">
      <c r="A5" s="360" t="n"/>
      <c r="N5" s="362" t="n"/>
    </row>
    <row r="6" ht="16.15" customHeight="1" s="372">
      <c r="A6" s="360" t="n"/>
      <c r="N6" s="362" t="n"/>
    </row>
    <row r="7" ht="16.15" customHeight="1" s="372">
      <c r="A7" s="360" t="n"/>
      <c r="N7" s="362" t="n"/>
    </row>
    <row r="8" ht="16.15" customHeight="1" s="372">
      <c r="A8" s="360" t="n"/>
      <c r="N8" s="362" t="n"/>
    </row>
    <row r="9" ht="16.15" customHeight="1" s="372">
      <c r="A9" s="360" t="n"/>
      <c r="N9" s="362" t="n"/>
    </row>
    <row r="10" ht="16.15" customHeight="1" s="372">
      <c r="A10" s="360" t="n"/>
      <c r="N10" s="362" t="n"/>
    </row>
    <row r="11" ht="16.15" customHeight="1" s="372">
      <c r="A11" s="360" t="n"/>
      <c r="N11" s="362" t="n"/>
    </row>
    <row r="12" ht="16.15" customHeight="1" s="372">
      <c r="A12" s="360" t="n"/>
      <c r="N12" s="362" t="n"/>
    </row>
    <row r="13" ht="16.15" customHeight="1" s="372">
      <c r="A13" s="360" t="n"/>
      <c r="N13" s="362" t="n"/>
    </row>
    <row r="14" ht="15" customHeight="1" s="372">
      <c r="A14" s="13" t="inlineStr">
        <is>
          <t>관리항목</t>
        </is>
      </c>
      <c r="B14" s="106" t="inlineStr">
        <is>
          <t>목표</t>
        </is>
      </c>
      <c r="C14" s="107" t="inlineStr">
        <is>
          <t>1월</t>
        </is>
      </c>
      <c r="D14" s="308" t="inlineStr">
        <is>
          <t>2월</t>
        </is>
      </c>
      <c r="E14" s="308" t="inlineStr">
        <is>
          <t>3월</t>
        </is>
      </c>
      <c r="F14" s="308" t="inlineStr">
        <is>
          <t>4월</t>
        </is>
      </c>
      <c r="G14" s="308" t="inlineStr">
        <is>
          <t>5월</t>
        </is>
      </c>
      <c r="H14" s="308" t="inlineStr">
        <is>
          <t>6월</t>
        </is>
      </c>
      <c r="I14" s="308" t="inlineStr">
        <is>
          <t>7월</t>
        </is>
      </c>
      <c r="J14" s="308" t="inlineStr">
        <is>
          <t>8월</t>
        </is>
      </c>
      <c r="K14" s="308" t="inlineStr">
        <is>
          <t>9월</t>
        </is>
      </c>
      <c r="L14" s="308" t="inlineStr">
        <is>
          <t>10월</t>
        </is>
      </c>
      <c r="M14" s="308" t="inlineStr">
        <is>
          <t>11월</t>
        </is>
      </c>
      <c r="N14" s="5" t="inlineStr">
        <is>
          <t>12월</t>
        </is>
      </c>
    </row>
    <row r="15" ht="15" customHeight="1" s="372">
      <c r="A15" s="108" t="inlineStr">
        <is>
          <t>설비가동시간</t>
        </is>
      </c>
      <c r="B15" s="109" t="n"/>
      <c r="C15" s="437" t="n"/>
      <c r="D15" s="438" t="n"/>
      <c r="E15" s="438" t="n"/>
      <c r="F15" s="438" t="n"/>
      <c r="G15" s="438" t="n"/>
      <c r="H15" s="438" t="n"/>
      <c r="I15" s="438" t="n"/>
      <c r="J15" s="438" t="n"/>
      <c r="K15" s="438" t="n"/>
      <c r="L15" s="438" t="n"/>
      <c r="M15" s="438" t="n"/>
      <c r="N15" s="439" t="n"/>
    </row>
    <row r="16" ht="15" customHeight="1" s="372">
      <c r="A16" s="108" t="inlineStr">
        <is>
          <t>관리불가시간</t>
        </is>
      </c>
      <c r="B16" s="109" t="n"/>
      <c r="C16" s="437" t="n"/>
      <c r="D16" s="438" t="n"/>
      <c r="E16" s="438" t="n"/>
      <c r="F16" s="438" t="n"/>
      <c r="G16" s="438" t="n"/>
      <c r="H16" s="438" t="n"/>
      <c r="I16" s="438" t="n"/>
      <c r="J16" s="438" t="n"/>
      <c r="K16" s="438" t="n"/>
      <c r="L16" s="438" t="n"/>
      <c r="M16" s="438" t="n"/>
      <c r="N16" s="439" t="n"/>
    </row>
    <row r="17" ht="15" customHeight="1" s="372">
      <c r="A17" s="108" t="inlineStr">
        <is>
          <t>조업시간</t>
        </is>
      </c>
      <c r="B17" s="109" t="n"/>
      <c r="C17" s="437" t="n"/>
      <c r="D17" s="438" t="n"/>
      <c r="E17" s="438" t="n"/>
      <c r="F17" s="438" t="n"/>
      <c r="G17" s="438" t="n"/>
      <c r="H17" s="438" t="n"/>
      <c r="I17" s="438" t="n"/>
      <c r="J17" s="438" t="n"/>
      <c r="K17" s="438" t="n"/>
      <c r="L17" s="438" t="n"/>
      <c r="M17" s="438" t="n"/>
      <c r="N17" s="439" t="n"/>
    </row>
    <row r="18" ht="15" customHeight="1" s="372">
      <c r="A18" s="108" t="inlineStr">
        <is>
          <t>설비고장시간</t>
        </is>
      </c>
      <c r="B18" s="109" t="n"/>
      <c r="C18" s="437" t="n"/>
      <c r="D18" s="438" t="n"/>
      <c r="E18" s="438" t="n"/>
      <c r="F18" s="438" t="n"/>
      <c r="G18" s="438" t="n"/>
      <c r="H18" s="438" t="n"/>
      <c r="I18" s="438" t="n"/>
      <c r="J18" s="438" t="n"/>
      <c r="K18" s="438" t="n"/>
      <c r="L18" s="438" t="n"/>
      <c r="M18" s="438" t="n"/>
      <c r="N18" s="439" t="n"/>
    </row>
    <row r="19" ht="15" customHeight="1" s="372">
      <c r="A19" s="108" t="inlineStr">
        <is>
          <t>설비고장건수</t>
        </is>
      </c>
      <c r="B19" s="109" t="n"/>
      <c r="C19" s="437" t="n"/>
      <c r="D19" s="438" t="n"/>
      <c r="E19" s="438" t="n"/>
      <c r="F19" s="438" t="n"/>
      <c r="G19" s="438" t="n"/>
      <c r="H19" s="438" t="n"/>
      <c r="I19" s="438" t="n"/>
      <c r="J19" s="438" t="n"/>
      <c r="K19" s="438" t="n"/>
      <c r="L19" s="438" t="n"/>
      <c r="M19" s="438" t="n"/>
      <c r="N19" s="439" t="n"/>
    </row>
    <row r="20" ht="15" customHeight="1" s="372">
      <c r="A20" s="108" t="inlineStr">
        <is>
          <t>양품율</t>
        </is>
      </c>
      <c r="B20" s="109" t="n"/>
      <c r="C20" s="437" t="n"/>
      <c r="D20" s="438" t="n"/>
      <c r="E20" s="438" t="n"/>
      <c r="F20" s="438" t="n"/>
      <c r="G20" s="438" t="n"/>
      <c r="H20" s="438" t="n"/>
      <c r="I20" s="438" t="n"/>
      <c r="J20" s="438" t="n"/>
      <c r="K20" s="438" t="n"/>
      <c r="L20" s="438" t="n"/>
      <c r="M20" s="438" t="n"/>
      <c r="N20" s="439" t="n"/>
    </row>
    <row r="21" ht="15" customHeight="1" s="372">
      <c r="A21" s="108" t="inlineStr">
        <is>
          <t>시간 가동율</t>
        </is>
      </c>
      <c r="B21" s="109" t="n"/>
      <c r="C21" s="437" t="n"/>
      <c r="D21" s="438" t="n"/>
      <c r="E21" s="438" t="n"/>
      <c r="F21" s="438" t="n"/>
      <c r="G21" s="438" t="n"/>
      <c r="H21" s="438" t="n"/>
      <c r="I21" s="438" t="n"/>
      <c r="J21" s="438" t="n"/>
      <c r="K21" s="438" t="n"/>
      <c r="L21" s="438" t="n"/>
      <c r="M21" s="438" t="n"/>
      <c r="N21" s="439" t="n"/>
    </row>
    <row r="22" ht="15" customHeight="1" s="372">
      <c r="A22" s="112" t="inlineStr">
        <is>
          <t>성능 가동율</t>
        </is>
      </c>
      <c r="B22" s="113" t="n"/>
      <c r="C22" s="440" t="n"/>
      <c r="D22" s="441" t="n"/>
      <c r="E22" s="441" t="n"/>
      <c r="F22" s="441" t="n"/>
      <c r="G22" s="441" t="n"/>
      <c r="H22" s="441" t="n"/>
      <c r="I22" s="441" t="n"/>
      <c r="J22" s="441" t="n"/>
      <c r="K22" s="441" t="n"/>
      <c r="L22" s="441" t="n"/>
      <c r="M22" s="441" t="n"/>
      <c r="N22" s="442" t="n"/>
    </row>
    <row r="23" ht="15" customHeight="1" s="372">
      <c r="A23" s="112" t="inlineStr">
        <is>
          <t>설비 효율</t>
        </is>
      </c>
      <c r="B23" s="113" t="n"/>
      <c r="C23" s="440" t="n"/>
      <c r="D23" s="441" t="n"/>
      <c r="E23" s="441" t="n"/>
      <c r="F23" s="441" t="n"/>
      <c r="G23" s="441" t="n"/>
      <c r="H23" s="441" t="n"/>
      <c r="I23" s="441" t="n"/>
      <c r="J23" s="441" t="n"/>
      <c r="K23" s="441" t="n"/>
      <c r="L23" s="441" t="n"/>
      <c r="M23" s="441" t="n"/>
      <c r="N23" s="442" t="n"/>
    </row>
    <row r="24" ht="15" customHeight="1" s="372">
      <c r="A24" s="117" t="inlineStr">
        <is>
          <t xml:space="preserve">MTBF </t>
        </is>
      </c>
      <c r="B24" s="118" t="n"/>
      <c r="C24" s="443" t="n"/>
      <c r="D24" s="444" t="n"/>
      <c r="E24" s="444" t="n"/>
      <c r="F24" s="444" t="n"/>
      <c r="G24" s="444" t="n"/>
      <c r="H24" s="444" t="n"/>
      <c r="I24" s="444" t="n"/>
      <c r="J24" s="444" t="n"/>
      <c r="K24" s="444" t="n"/>
      <c r="L24" s="444" t="n"/>
      <c r="M24" s="444" t="n"/>
      <c r="N24" s="445" t="n"/>
    </row>
    <row r="25" ht="15" customHeight="1" s="372">
      <c r="A25" s="117" t="inlineStr">
        <is>
          <t>MTTR</t>
        </is>
      </c>
      <c r="B25" s="118" t="n"/>
      <c r="C25" s="122" t="n"/>
      <c r="D25" s="444" t="n"/>
      <c r="E25" s="444" t="n"/>
      <c r="F25" s="444" t="n"/>
      <c r="G25" s="444" t="n"/>
      <c r="H25" s="444" t="n"/>
      <c r="I25" s="444" t="n"/>
      <c r="J25" s="444" t="n"/>
      <c r="K25" s="444" t="n"/>
      <c r="L25" s="444" t="n"/>
      <c r="M25" s="444" t="n"/>
      <c r="N25" s="445" t="n"/>
    </row>
    <row r="26" ht="15" customHeight="1" s="372">
      <c r="A26" s="108" t="inlineStr">
        <is>
          <t>설비가동율</t>
        </is>
      </c>
      <c r="B26" s="109" t="n"/>
      <c r="C26" s="437" t="n"/>
      <c r="D26" s="438" t="n"/>
      <c r="E26" s="438" t="n"/>
      <c r="F26" s="438" t="n"/>
      <c r="G26" s="438" t="n"/>
      <c r="H26" s="438" t="n"/>
      <c r="I26" s="438" t="n"/>
      <c r="J26" s="438" t="n"/>
      <c r="K26" s="438" t="n"/>
      <c r="L26" s="438" t="n"/>
      <c r="M26" s="438" t="n"/>
      <c r="N26" s="439" t="n"/>
    </row>
    <row r="27" ht="15" customHeight="1" s="372">
      <c r="A27" s="123" t="inlineStr">
        <is>
          <t>설비고장율</t>
        </is>
      </c>
      <c r="B27" s="124" t="n"/>
      <c r="C27" s="446" t="n"/>
      <c r="D27" s="447" t="n"/>
      <c r="E27" s="447" t="n"/>
      <c r="F27" s="447" t="n"/>
      <c r="G27" s="447" t="n"/>
      <c r="H27" s="447" t="n"/>
      <c r="I27" s="447" t="n"/>
      <c r="J27" s="447" t="n"/>
      <c r="K27" s="447" t="n"/>
      <c r="L27" s="447" t="n"/>
      <c r="M27" s="447" t="n"/>
      <c r="N27" s="448" t="n"/>
    </row>
    <row r="28" ht="15" customHeight="1" s="372">
      <c r="A28" s="351" t="inlineStr">
        <is>
          <t>비고</t>
        </is>
      </c>
      <c r="B28" s="251" t="inlineStr">
        <is>
          <t xml:space="preserve">  1) MTBF(평균고장간격) : (∑설비가동시간 /∑ 설비고장건수) </t>
        </is>
      </c>
      <c r="C28" s="252" t="n"/>
      <c r="D28" s="252" t="n"/>
      <c r="E28" s="252" t="n"/>
      <c r="F28" s="252" t="n"/>
      <c r="G28" s="252" t="n"/>
      <c r="H28" s="252" t="n"/>
      <c r="I28" s="252" t="n"/>
      <c r="J28" s="252" t="n"/>
      <c r="K28" s="252" t="n"/>
      <c r="L28" s="252" t="n"/>
      <c r="M28" s="252" t="n"/>
      <c r="N28" s="253" t="n"/>
    </row>
    <row r="29" ht="15" customHeight="1" s="372">
      <c r="A29" s="449" t="n"/>
      <c r="B29" s="254" t="inlineStr">
        <is>
          <t xml:space="preserve">  2) MTTR(평균수리시간) : (∑설비고장시간 /∑ 설비고장건수) </t>
        </is>
      </c>
      <c r="C29" s="128" t="n"/>
      <c r="D29" s="128" t="n"/>
      <c r="E29" s="128" t="n"/>
      <c r="F29" s="128" t="n"/>
      <c r="G29" s="128" t="n"/>
      <c r="H29" s="128" t="n"/>
      <c r="I29" s="128" t="n"/>
      <c r="J29" s="128" t="n"/>
      <c r="K29" s="128" t="n"/>
      <c r="L29" s="128" t="n"/>
      <c r="M29" s="128" t="n"/>
      <c r="N29" s="129" t="n"/>
    </row>
    <row r="30" ht="15" customHeight="1" s="372">
      <c r="A30" s="449" t="n"/>
      <c r="B30" s="254" t="inlineStr">
        <is>
          <t xml:space="preserve">  3) 설비가동율 : {(∑설비가동시간-∑관리불가시간)/∑조업시간}×100</t>
        </is>
      </c>
      <c r="C30" s="128" t="n"/>
      <c r="D30" s="128" t="n"/>
      <c r="E30" s="128" t="n"/>
      <c r="F30" s="128" t="n"/>
      <c r="G30" s="128" t="n"/>
      <c r="H30" s="128" t="n"/>
      <c r="I30" s="128" t="n"/>
      <c r="J30" s="128" t="n"/>
      <c r="K30" s="128" t="n"/>
      <c r="L30" s="128" t="n"/>
      <c r="M30" s="128" t="n"/>
      <c r="N30" s="129" t="n"/>
    </row>
    <row r="31" ht="15" customHeight="1" s="372">
      <c r="A31" s="450" t="n"/>
      <c r="B31" s="255" t="inlineStr">
        <is>
          <t xml:space="preserve">  4) 설비고장율 : (∑설비고장시간/∑설비가동시간)×100</t>
        </is>
      </c>
      <c r="C31" s="130" t="n"/>
      <c r="D31" s="130" t="n"/>
      <c r="E31" s="130" t="n"/>
      <c r="F31" s="130" t="n"/>
      <c r="G31" s="130" t="n"/>
      <c r="H31" s="130" t="inlineStr">
        <is>
          <t xml:space="preserve"> ※ 관리불가시간 : 분기별점검,조업단축,설비고장,소모품교체 (30분단위는0.5)</t>
        </is>
      </c>
      <c r="I31" s="130" t="n"/>
      <c r="J31" s="130" t="n"/>
      <c r="K31" s="130" t="n"/>
      <c r="L31" s="130" t="n"/>
      <c r="M31" s="130" t="n"/>
      <c r="N31" s="131" t="n"/>
    </row>
  </sheetData>
  <mergeCells count="1">
    <mergeCell ref="A28:A31"/>
  </mergeCells>
  <printOptions horizontalCentered="1"/>
  <pageMargins left="0.5118110236220472" right="0.5118110236220472" top="0.5905511811023622" bottom="0.3937007874015748" header="0" footer="0"/>
  <pageSetup orientation="landscape" paperSize="9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tabColor rgb="FF0070C0"/>
    <outlinePr summaryBelow="1" summaryRight="1"/>
    <pageSetUpPr/>
  </sheetPr>
  <dimension ref="A1:H25"/>
  <sheetViews>
    <sheetView showGridLines="0" zoomScaleNormal="100" workbookViewId="0">
      <selection activeCell="G33" sqref="G33"/>
    </sheetView>
  </sheetViews>
  <sheetFormatPr baseColWidth="8" defaultColWidth="9.5" defaultRowHeight="20.1" customHeight="1"/>
  <cols>
    <col width="5.625" customWidth="1" style="361" min="1" max="1"/>
    <col width="15.625" customWidth="1" style="361" min="2" max="2"/>
    <col width="13" customWidth="1" style="361" min="3" max="3"/>
    <col width="12.25" customWidth="1" style="361" min="4" max="4"/>
    <col width="14.125" customWidth="1" style="361" min="5" max="5"/>
    <col width="24.5" customWidth="1" style="361" min="6" max="6"/>
    <col width="22.625" customWidth="1" style="361" min="7" max="7"/>
    <col width="17" customWidth="1" style="361" min="8" max="8"/>
    <col width="9.5" customWidth="1" style="361" min="9" max="16384"/>
  </cols>
  <sheetData>
    <row r="1" ht="20.1" customHeight="1" s="372">
      <c r="A1" s="12" t="inlineStr">
        <is>
          <t>Part Ⅱ-7. 보증성과</t>
        </is>
      </c>
      <c r="H1" s="144" t="n"/>
    </row>
    <row r="2" ht="20.1" customHeight="1" s="372">
      <c r="A2" s="128" t="inlineStr">
        <is>
          <t>시행하고 있는 보증서비스가 있는 경우에 한 해 작성</t>
        </is>
      </c>
    </row>
    <row r="3" ht="20.1" customHeight="1" s="372">
      <c r="A3" s="3" t="inlineStr">
        <is>
          <t>No</t>
        </is>
      </c>
      <c r="B3" s="308" t="inlineStr">
        <is>
          <t>제품명</t>
        </is>
      </c>
      <c r="C3" s="308" t="inlineStr">
        <is>
          <t>고객사</t>
        </is>
      </c>
      <c r="D3" s="308" t="inlineStr">
        <is>
          <t>보증성과 구분</t>
        </is>
      </c>
      <c r="E3" s="308" t="inlineStr">
        <is>
          <t>수량, 비율</t>
        </is>
      </c>
      <c r="F3" s="308" t="inlineStr">
        <is>
          <t>주요내용(경제성, 리스크 분석)</t>
        </is>
      </c>
      <c r="G3" s="308" t="inlineStr">
        <is>
          <t>조치사항 요약</t>
        </is>
      </c>
      <c r="H3" s="5" t="inlineStr">
        <is>
          <t>관련기록</t>
        </is>
      </c>
    </row>
    <row r="4" ht="20.1" customHeight="1" s="372">
      <c r="A4" s="132" t="n"/>
      <c r="B4" s="133" t="n"/>
      <c r="C4" s="134" t="n"/>
      <c r="D4" s="134" t="n"/>
      <c r="E4" s="134" t="n"/>
      <c r="F4" s="134" t="n"/>
      <c r="G4" s="135" t="n"/>
      <c r="H4" s="136" t="n"/>
    </row>
    <row r="5" ht="20.1" customHeight="1" s="372">
      <c r="A5" s="137" t="n"/>
      <c r="B5" s="138" t="n"/>
      <c r="C5" s="139" t="n"/>
      <c r="D5" s="139" t="inlineStr">
        <is>
          <t>IPTV / R1001</t>
        </is>
      </c>
      <c r="E5" s="139" t="n"/>
      <c r="F5" s="139" t="n"/>
      <c r="G5" s="140" t="n"/>
      <c r="H5" s="141" t="n"/>
    </row>
    <row r="6" ht="20.1" customHeight="1" s="372">
      <c r="A6" s="137" t="n"/>
      <c r="B6" s="138" t="n"/>
      <c r="C6" s="139" t="n"/>
      <c r="D6" s="139" t="inlineStr">
        <is>
          <t xml:space="preserve">NTF </t>
        </is>
      </c>
      <c r="E6" s="139" t="n"/>
      <c r="F6" s="139" t="n"/>
      <c r="G6" s="140" t="n"/>
      <c r="H6" s="141" t="n"/>
    </row>
    <row r="7" ht="20.1" customHeight="1" s="372">
      <c r="A7" s="137" t="n"/>
      <c r="B7" s="138" t="n"/>
      <c r="C7" s="139" t="n"/>
      <c r="D7" s="139" t="inlineStr">
        <is>
          <t>Recall</t>
        </is>
      </c>
      <c r="E7" s="139" t="n"/>
      <c r="F7" s="139" t="n"/>
      <c r="G7" s="140" t="n"/>
      <c r="H7" s="141" t="n"/>
    </row>
    <row r="8" ht="20.1" customHeight="1" s="372">
      <c r="A8" s="137" t="n"/>
      <c r="B8" s="138" t="n"/>
      <c r="C8" s="139" t="n"/>
      <c r="D8" s="139" t="inlineStr">
        <is>
          <t>Campaign</t>
        </is>
      </c>
      <c r="E8" s="139" t="n"/>
      <c r="F8" s="139" t="n"/>
      <c r="G8" s="140" t="n"/>
      <c r="H8" s="141" t="n"/>
    </row>
    <row r="9" ht="20.1" customHeight="1" s="372">
      <c r="A9" s="137" t="n"/>
      <c r="B9" s="138" t="n"/>
      <c r="C9" s="139" t="n"/>
      <c r="D9" s="139" t="n"/>
      <c r="E9" s="139" t="n"/>
      <c r="F9" s="139" t="n"/>
      <c r="G9" s="140" t="n"/>
      <c r="H9" s="141" t="n"/>
    </row>
    <row r="10" ht="20.1" customHeight="1" s="372">
      <c r="A10" s="137" t="n"/>
      <c r="B10" s="138" t="n"/>
      <c r="C10" s="139" t="n"/>
      <c r="D10" s="139" t="n"/>
      <c r="E10" s="139" t="n"/>
      <c r="F10" s="139" t="n"/>
      <c r="G10" s="140" t="n"/>
      <c r="H10" s="141" t="n"/>
    </row>
    <row r="11" ht="20.1" customHeight="1" s="372">
      <c r="A11" s="137" t="n"/>
      <c r="B11" s="138" t="n"/>
      <c r="C11" s="139" t="n"/>
      <c r="D11" s="139" t="n"/>
      <c r="E11" s="139" t="n"/>
      <c r="F11" s="139" t="n"/>
      <c r="G11" s="140" t="n"/>
      <c r="H11" s="141" t="n"/>
    </row>
    <row r="12" ht="20.1" customHeight="1" s="372">
      <c r="A12" s="137" t="n"/>
      <c r="B12" s="138" t="n"/>
      <c r="C12" s="139" t="n"/>
      <c r="D12" s="139" t="n"/>
      <c r="E12" s="139" t="n"/>
      <c r="F12" s="139" t="n"/>
      <c r="G12" s="140" t="n"/>
      <c r="H12" s="141" t="n"/>
    </row>
    <row r="13" ht="20.1" customHeight="1" s="372">
      <c r="A13" s="137" t="n"/>
      <c r="B13" s="138" t="n"/>
      <c r="C13" s="139" t="n"/>
      <c r="D13" s="139" t="n"/>
      <c r="E13" s="139" t="n"/>
      <c r="F13" s="139" t="n"/>
      <c r="G13" s="140" t="n"/>
      <c r="H13" s="141" t="n"/>
    </row>
    <row r="14" ht="20.1" customHeight="1" s="372">
      <c r="A14" s="137" t="n"/>
      <c r="B14" s="138" t="n"/>
      <c r="C14" s="139" t="n"/>
      <c r="D14" s="139" t="n"/>
      <c r="E14" s="139" t="n"/>
      <c r="F14" s="139" t="n"/>
      <c r="G14" s="140" t="n"/>
      <c r="H14" s="141" t="n"/>
    </row>
    <row r="15" ht="20.1" customHeight="1" s="372">
      <c r="A15" s="37" t="n"/>
      <c r="B15" s="22" t="n"/>
      <c r="C15" s="21" t="n"/>
      <c r="D15" s="21" t="n"/>
      <c r="E15" s="21" t="n"/>
      <c r="F15" s="21" t="n"/>
      <c r="G15" s="142" t="n"/>
      <c r="H15" s="30" t="n"/>
    </row>
    <row r="16" ht="20.1" customHeight="1" s="372">
      <c r="A16" s="37" t="n"/>
      <c r="B16" s="22" t="n"/>
      <c r="C16" s="21" t="n"/>
      <c r="D16" s="21" t="n"/>
      <c r="E16" s="21" t="n"/>
      <c r="F16" s="21" t="n"/>
      <c r="G16" s="142" t="n"/>
      <c r="H16" s="30" t="n"/>
    </row>
    <row r="17" ht="20.1" customHeight="1" s="372">
      <c r="A17" s="37" t="n"/>
      <c r="B17" s="22" t="n"/>
      <c r="C17" s="21" t="n"/>
      <c r="D17" s="21" t="n"/>
      <c r="E17" s="21" t="n"/>
      <c r="F17" s="21" t="n"/>
      <c r="G17" s="142" t="n"/>
      <c r="H17" s="30" t="n"/>
    </row>
    <row r="18" ht="20.1" customHeight="1" s="372">
      <c r="A18" s="37" t="n"/>
      <c r="B18" s="22" t="n"/>
      <c r="C18" s="21" t="n"/>
      <c r="D18" s="21" t="n"/>
      <c r="E18" s="21" t="n"/>
      <c r="F18" s="21" t="n"/>
      <c r="G18" s="142" t="n"/>
      <c r="H18" s="30" t="n"/>
    </row>
    <row r="19" ht="20.1" customHeight="1" s="372">
      <c r="A19" s="37" t="n"/>
      <c r="B19" s="22" t="n"/>
      <c r="C19" s="21" t="n"/>
      <c r="D19" s="21" t="n"/>
      <c r="E19" s="21" t="n"/>
      <c r="F19" s="21" t="n"/>
      <c r="G19" s="142" t="n"/>
      <c r="H19" s="30" t="n"/>
    </row>
    <row r="20" ht="20.1" customHeight="1" s="372">
      <c r="A20" s="424" t="inlineStr">
        <is>
          <t>보증성과 분석과 관리에 관한 경제성과 리스크 그리고 주요 대응 내역 요약</t>
        </is>
      </c>
      <c r="B20" s="418" t="n"/>
      <c r="C20" s="418" t="n"/>
      <c r="D20" s="418" t="n"/>
      <c r="E20" s="418" t="n"/>
      <c r="F20" s="418" t="n"/>
      <c r="G20" s="418" t="n"/>
      <c r="H20" s="419" t="n"/>
    </row>
    <row r="21" ht="20.1" customHeight="1" s="372">
      <c r="A21" s="425" t="n"/>
      <c r="H21" s="421" t="n"/>
    </row>
    <row r="22" ht="20.1" customHeight="1" s="372">
      <c r="A22" s="425" t="n"/>
      <c r="H22" s="421" t="n"/>
    </row>
    <row r="23" ht="20.1" customHeight="1" s="372">
      <c r="A23" s="425" t="n"/>
      <c r="H23" s="421" t="n"/>
    </row>
    <row r="24" ht="20.1" customHeight="1" s="372">
      <c r="A24" s="425" t="n"/>
      <c r="H24" s="421" t="n"/>
    </row>
    <row r="25" ht="20.1" customHeight="1" s="372">
      <c r="A25" s="426" t="n"/>
      <c r="B25" s="396" t="n"/>
      <c r="C25" s="396" t="n"/>
      <c r="D25" s="396" t="n"/>
      <c r="E25" s="396" t="n"/>
      <c r="F25" s="396" t="n"/>
      <c r="G25" s="396" t="n"/>
      <c r="H25" s="423" t="n"/>
    </row>
  </sheetData>
  <mergeCells count="6">
    <mergeCell ref="A21:H21"/>
    <mergeCell ref="A25:H25"/>
    <mergeCell ref="A20:H20"/>
    <mergeCell ref="A24:H24"/>
    <mergeCell ref="A23:H23"/>
    <mergeCell ref="A22:H22"/>
  </mergeCells>
  <printOptions horizontalCentered="1"/>
  <pageMargins left="0.5118110236220472" right="0.5118110236220472" top="0.5905511811023622" bottom="0.3937007874015748" header="0" footer="0"/>
  <pageSetup orientation="landscape" paperSize="9"/>
</worksheet>
</file>

<file path=xl/worksheets/sheet22.xml><?xml version="1.0" encoding="utf-8"?>
<worksheet xmlns="http://schemas.openxmlformats.org/spreadsheetml/2006/main">
  <sheetPr>
    <tabColor rgb="FF0070C0"/>
    <outlinePr summaryBelow="1" summaryRight="1"/>
    <pageSetUpPr/>
  </sheetPr>
  <dimension ref="A1:H25"/>
  <sheetViews>
    <sheetView showGridLines="0" zoomScaleNormal="100" workbookViewId="0">
      <selection activeCell="E31" sqref="E31"/>
    </sheetView>
  </sheetViews>
  <sheetFormatPr baseColWidth="8" defaultColWidth="9.5" defaultRowHeight="20.1" customHeight="1"/>
  <cols>
    <col width="12.875" customWidth="1" style="27" min="1" max="1"/>
    <col width="15.625" customWidth="1" style="361" min="2" max="2"/>
    <col width="11.5" customWidth="1" style="27" min="3" max="3"/>
    <col width="20.625" customWidth="1" style="361" min="4" max="4"/>
    <col width="10.75" customWidth="1" style="27" min="5" max="5"/>
    <col width="22.875" customWidth="1" style="361" min="6" max="6"/>
    <col width="7.75" customWidth="1" style="361" min="7" max="7"/>
    <col width="22.75" customWidth="1" style="361" min="8" max="8"/>
    <col width="9.5" customWidth="1" style="361" min="9" max="16384"/>
  </cols>
  <sheetData>
    <row r="1" ht="24.95" customHeight="1" s="372">
      <c r="A1" s="96" t="inlineStr">
        <is>
          <t>Part Ⅱ-8. 리스크 분석에 따른 고장형태 분석</t>
        </is>
      </c>
      <c r="H1" s="144" t="n"/>
    </row>
    <row r="2" ht="20.1" customHeight="1" s="372">
      <c r="A2" s="337" t="inlineStr">
        <is>
          <t>(잠재적 리스크 관리내역)</t>
        </is>
      </c>
    </row>
    <row r="3" ht="30" customHeight="1" s="372">
      <c r="A3" s="3" t="inlineStr">
        <is>
          <t>제품명</t>
        </is>
      </c>
      <c r="B3" s="308" t="inlineStr">
        <is>
          <t>잠재적 필드 고장 형태</t>
        </is>
      </c>
      <c r="C3" s="213" t="inlineStr">
        <is>
          <t>FMEA 유형
&amp; RPN (랭킹)</t>
        </is>
      </c>
      <c r="D3" s="308" t="inlineStr">
        <is>
          <t>리스크 내역</t>
        </is>
      </c>
      <c r="E3" s="308" t="inlineStr">
        <is>
          <t>핵심관리부서</t>
        </is>
      </c>
      <c r="F3" s="308" t="inlineStr">
        <is>
          <t>리스크 관리 내역과 효과</t>
        </is>
      </c>
      <c r="G3" s="99" t="inlineStr">
        <is>
          <t>현재 RPN</t>
        </is>
      </c>
      <c r="H3" s="5" t="inlineStr">
        <is>
          <t>주요 성과지표, 관련 기록</t>
        </is>
      </c>
    </row>
    <row r="4" ht="20.1" customHeight="1" s="372">
      <c r="A4" s="37" t="n"/>
      <c r="B4" s="21" t="n"/>
      <c r="C4" s="288" t="n"/>
      <c r="D4" s="21" t="n"/>
      <c r="E4" s="22" t="n"/>
      <c r="F4" s="21" t="n"/>
      <c r="G4" s="291" t="n"/>
      <c r="H4" s="30" t="n"/>
    </row>
    <row r="5" ht="20.1" customHeight="1" s="372">
      <c r="A5" s="37" t="n"/>
      <c r="B5" s="21" t="n"/>
      <c r="C5" s="288" t="n"/>
      <c r="D5" s="21" t="n"/>
      <c r="E5" s="22" t="n"/>
      <c r="F5" s="21" t="n"/>
      <c r="G5" s="291" t="n"/>
      <c r="H5" s="30" t="n"/>
    </row>
    <row r="6" ht="20.1" customHeight="1" s="372">
      <c r="A6" s="37" t="n"/>
      <c r="B6" s="21" t="n"/>
      <c r="C6" s="288" t="n"/>
      <c r="D6" s="21" t="n"/>
      <c r="E6" s="22" t="n"/>
      <c r="F6" s="21" t="n"/>
      <c r="G6" s="291" t="n"/>
      <c r="H6" s="30" t="n"/>
    </row>
    <row r="7" ht="20.1" customHeight="1" s="372">
      <c r="A7" s="37" t="n"/>
      <c r="B7" s="21" t="n"/>
      <c r="C7" s="289" t="n"/>
      <c r="D7" s="21" t="n"/>
      <c r="E7" s="22" t="n"/>
      <c r="F7" s="21" t="n"/>
      <c r="G7" s="291" t="n"/>
      <c r="H7" s="30" t="n"/>
    </row>
    <row r="8" ht="20.1" customHeight="1" s="372">
      <c r="A8" s="37" t="n"/>
      <c r="B8" s="21" t="n"/>
      <c r="C8" s="289" t="n"/>
      <c r="D8" s="21" t="n"/>
      <c r="E8" s="22" t="n"/>
      <c r="F8" s="21" t="n"/>
      <c r="G8" s="291" t="n"/>
      <c r="H8" s="30" t="n"/>
    </row>
    <row r="9" ht="20.1" customHeight="1" s="372">
      <c r="A9" s="37" t="n"/>
      <c r="B9" s="21" t="n"/>
      <c r="C9" s="289" t="n"/>
      <c r="D9" s="21" t="n"/>
      <c r="E9" s="22" t="n"/>
      <c r="F9" s="21" t="n"/>
      <c r="G9" s="291" t="n"/>
      <c r="H9" s="30" t="n"/>
    </row>
    <row r="10" ht="20.1" customHeight="1" s="372">
      <c r="A10" s="37" t="n"/>
      <c r="B10" s="21" t="n"/>
      <c r="C10" s="289" t="n"/>
      <c r="D10" s="21" t="n"/>
      <c r="E10" s="22" t="n"/>
      <c r="F10" s="21" t="n"/>
      <c r="G10" s="291" t="n"/>
      <c r="H10" s="30" t="n"/>
    </row>
    <row r="11" ht="20.1" customHeight="1" s="372">
      <c r="A11" s="37" t="n"/>
      <c r="B11" s="21" t="n"/>
      <c r="C11" s="289" t="n"/>
      <c r="D11" s="21" t="n"/>
      <c r="E11" s="22" t="n"/>
      <c r="F11" s="21" t="n"/>
      <c r="G11" s="291" t="n"/>
      <c r="H11" s="30" t="n"/>
    </row>
    <row r="12" ht="20.1" customHeight="1" s="372">
      <c r="A12" s="37" t="n"/>
      <c r="B12" s="21" t="n"/>
      <c r="C12" s="289" t="n"/>
      <c r="D12" s="21" t="n"/>
      <c r="E12" s="22" t="n"/>
      <c r="F12" s="21" t="n"/>
      <c r="G12" s="291" t="n"/>
      <c r="H12" s="30" t="n"/>
    </row>
    <row r="13" ht="20.1" customHeight="1" s="372">
      <c r="A13" s="37" t="n"/>
      <c r="B13" s="21" t="n"/>
      <c r="C13" s="289" t="n"/>
      <c r="D13" s="21" t="n"/>
      <c r="E13" s="22" t="n"/>
      <c r="F13" s="21" t="n"/>
      <c r="G13" s="291" t="n"/>
      <c r="H13" s="30" t="n"/>
    </row>
    <row r="14" ht="20.1" customHeight="1" s="372">
      <c r="A14" s="37" t="n"/>
      <c r="B14" s="21" t="n"/>
      <c r="C14" s="289" t="n"/>
      <c r="D14" s="21" t="n"/>
      <c r="E14" s="22" t="n"/>
      <c r="F14" s="21" t="n"/>
      <c r="G14" s="291" t="n"/>
      <c r="H14" s="30" t="n"/>
    </row>
    <row r="15" ht="20.1" customHeight="1" s="372">
      <c r="A15" s="37" t="n"/>
      <c r="B15" s="21" t="n"/>
      <c r="C15" s="289" t="n"/>
      <c r="D15" s="21" t="n"/>
      <c r="E15" s="22" t="n"/>
      <c r="F15" s="21" t="n"/>
      <c r="G15" s="291" t="n"/>
      <c r="H15" s="30" t="n"/>
    </row>
    <row r="16" ht="20.1" customHeight="1" s="372">
      <c r="A16" s="37" t="n"/>
      <c r="B16" s="21" t="n"/>
      <c r="C16" s="289" t="n"/>
      <c r="D16" s="21" t="n"/>
      <c r="E16" s="22" t="n"/>
      <c r="F16" s="21" t="n"/>
      <c r="G16" s="291" t="n"/>
      <c r="H16" s="30" t="n"/>
    </row>
    <row r="17" ht="20.1" customHeight="1" s="372">
      <c r="A17" s="37" t="n"/>
      <c r="B17" s="21" t="n"/>
      <c r="C17" s="289" t="n"/>
      <c r="D17" s="21" t="n"/>
      <c r="E17" s="22" t="n"/>
      <c r="F17" s="21" t="n"/>
      <c r="G17" s="291" t="n"/>
      <c r="H17" s="30" t="n"/>
    </row>
    <row r="18" ht="20.1" customHeight="1" s="372">
      <c r="A18" s="37" t="n"/>
      <c r="B18" s="21" t="n"/>
      <c r="C18" s="289" t="n"/>
      <c r="D18" s="21" t="n"/>
      <c r="E18" s="22" t="n"/>
      <c r="F18" s="21" t="n"/>
      <c r="G18" s="291" t="n"/>
      <c r="H18" s="30" t="n"/>
    </row>
    <row r="19" ht="20.1" customHeight="1" s="372">
      <c r="A19" s="102" t="n"/>
      <c r="B19" s="143" t="n"/>
      <c r="C19" s="290" t="n"/>
      <c r="D19" s="143" t="n"/>
      <c r="E19" s="103" t="n"/>
      <c r="F19" s="143" t="n"/>
      <c r="G19" s="292" t="n"/>
      <c r="H19" s="105" t="n"/>
    </row>
    <row r="20" ht="20.1" customHeight="1" s="372">
      <c r="A20" s="435" t="inlineStr">
        <is>
          <t>FMEA에 따른 리스크 관리에서 획득한 관리, 기술적 기회 요소</t>
        </is>
      </c>
      <c r="B20" s="418" t="n"/>
      <c r="C20" s="418" t="n"/>
      <c r="D20" s="418" t="n"/>
      <c r="E20" s="418" t="n"/>
      <c r="F20" s="418" t="n"/>
      <c r="G20" s="418" t="n"/>
      <c r="H20" s="419" t="n"/>
    </row>
    <row r="21" ht="20.1" customHeight="1" s="372">
      <c r="A21" s="425" t="n"/>
      <c r="H21" s="421" t="n"/>
    </row>
    <row r="22" ht="20.1" customHeight="1" s="372">
      <c r="A22" s="425" t="n"/>
      <c r="H22" s="421" t="n"/>
    </row>
    <row r="23" ht="20.1" customHeight="1" s="372">
      <c r="A23" s="425" t="n"/>
      <c r="H23" s="421" t="n"/>
    </row>
    <row r="24" ht="20.1" customHeight="1" s="372">
      <c r="A24" s="425" t="n"/>
      <c r="H24" s="421" t="n"/>
    </row>
    <row r="25" ht="20.1" customHeight="1" s="372">
      <c r="A25" s="426" t="n"/>
      <c r="B25" s="396" t="n"/>
      <c r="C25" s="396" t="n"/>
      <c r="D25" s="396" t="n"/>
      <c r="E25" s="396" t="n"/>
      <c r="F25" s="396" t="n"/>
      <c r="G25" s="396" t="n"/>
      <c r="H25" s="423" t="n"/>
    </row>
  </sheetData>
  <mergeCells count="6">
    <mergeCell ref="A21:H21"/>
    <mergeCell ref="A25:H25"/>
    <mergeCell ref="A20:H20"/>
    <mergeCell ref="A24:H24"/>
    <mergeCell ref="A23:H23"/>
    <mergeCell ref="A22:H22"/>
  </mergeCells>
  <printOptions horizontalCentered="1"/>
  <pageMargins left="0.5118110236220472" right="0.5118110236220472" top="0.5905511811023622" bottom="0.3937007874015748" header="0" footer="0"/>
  <pageSetup orientation="landscape" paperSize="9"/>
</worksheet>
</file>

<file path=xl/worksheets/sheet23.xml><?xml version="1.0" encoding="utf-8"?>
<worksheet xmlns="http://schemas.openxmlformats.org/spreadsheetml/2006/main">
  <sheetPr>
    <tabColor rgb="FF0070C0"/>
    <outlinePr summaryBelow="1" summaryRight="1"/>
    <pageSetUpPr/>
  </sheetPr>
  <dimension ref="A1:G25"/>
  <sheetViews>
    <sheetView showGridLines="0" zoomScaleNormal="100" workbookViewId="0">
      <selection activeCell="E10" sqref="E10"/>
    </sheetView>
  </sheetViews>
  <sheetFormatPr baseColWidth="8" defaultColWidth="9.5" defaultRowHeight="20.1" customHeight="1"/>
  <cols>
    <col width="8.625" customWidth="1" style="361" min="1" max="1"/>
    <col width="16.625" customWidth="1" style="361" min="2" max="2"/>
    <col width="12.625" customWidth="1" style="361" min="3" max="3"/>
    <col width="20.625" customWidth="1" style="361" min="4" max="7"/>
    <col width="16.875" customWidth="1" style="361" min="8" max="10"/>
    <col width="9.5" customWidth="1" style="361" min="11" max="16384"/>
  </cols>
  <sheetData>
    <row r="1" ht="24.95" customHeight="1" s="372">
      <c r="A1" s="12" t="inlineStr">
        <is>
          <t>Part Ⅱ-9. 필드고장 환경, 안전 영향 평가</t>
        </is>
      </c>
      <c r="G1" s="144" t="n"/>
    </row>
    <row r="2" ht="20.1" customHeight="1" s="372">
      <c r="A2" s="361" t="inlineStr">
        <is>
          <t>(실제 발생한 필드 고장의 현황과 환경, 안전 영향)</t>
        </is>
      </c>
    </row>
    <row r="3" ht="20.1" customHeight="1" s="372">
      <c r="A3" s="3" t="inlineStr">
        <is>
          <t>발생일</t>
        </is>
      </c>
      <c r="B3" s="308" t="inlineStr">
        <is>
          <t>품명</t>
        </is>
      </c>
      <c r="C3" s="308" t="inlineStr">
        <is>
          <t>발생 필드명</t>
        </is>
      </c>
      <c r="D3" s="308" t="inlineStr">
        <is>
          <t>필드 발생 고장 내역</t>
        </is>
      </c>
      <c r="E3" s="308" t="inlineStr">
        <is>
          <t>원인 및 조치 내역</t>
        </is>
      </c>
      <c r="F3" s="308" t="inlineStr">
        <is>
          <t>환경, 안전 영향 내역 분석</t>
        </is>
      </c>
      <c r="G3" s="5" t="inlineStr">
        <is>
          <t>비고(관련 기록 및 현재 상황)</t>
        </is>
      </c>
    </row>
    <row r="4" ht="20.1" customHeight="1" s="372">
      <c r="A4" s="345" t="n"/>
      <c r="B4" s="17" t="n"/>
      <c r="C4" s="17" t="n"/>
      <c r="D4" s="16" t="n"/>
      <c r="E4" s="16" t="n"/>
      <c r="F4" s="16" t="n"/>
      <c r="G4" s="29" t="n"/>
    </row>
    <row r="5" ht="20.1" customHeight="1" s="372">
      <c r="A5" s="37" t="n"/>
      <c r="B5" s="22" t="n"/>
      <c r="C5" s="22" t="n"/>
      <c r="D5" s="21" t="n"/>
      <c r="E5" s="21" t="n"/>
      <c r="F5" s="21" t="n"/>
      <c r="G5" s="30" t="n"/>
    </row>
    <row r="6" ht="20.1" customHeight="1" s="372">
      <c r="A6" s="37" t="n"/>
      <c r="B6" s="22" t="n"/>
      <c r="C6" s="22" t="n"/>
      <c r="D6" s="21" t="n"/>
      <c r="E6" s="21" t="n"/>
      <c r="F6" s="21" t="n"/>
      <c r="G6" s="30" t="n"/>
    </row>
    <row r="7" ht="20.1" customHeight="1" s="372">
      <c r="A7" s="37" t="n"/>
      <c r="B7" s="22" t="n"/>
      <c r="C7" s="22" t="n"/>
      <c r="D7" s="21" t="n"/>
      <c r="E7" s="21" t="n"/>
      <c r="F7" s="21" t="n"/>
      <c r="G7" s="30" t="n"/>
    </row>
    <row r="8" ht="20.1" customHeight="1" s="372">
      <c r="A8" s="37" t="n"/>
      <c r="B8" s="22" t="n"/>
      <c r="C8" s="22" t="n"/>
      <c r="D8" s="21" t="n"/>
      <c r="E8" s="21" t="n"/>
      <c r="F8" s="21" t="n"/>
      <c r="G8" s="30" t="n"/>
    </row>
    <row r="9" ht="20.1" customHeight="1" s="372">
      <c r="A9" s="37" t="n"/>
      <c r="B9" s="22" t="n"/>
      <c r="C9" s="22" t="n"/>
      <c r="D9" s="21" t="n"/>
      <c r="E9" s="21" t="n"/>
      <c r="F9" s="21" t="n"/>
      <c r="G9" s="30" t="n"/>
    </row>
    <row r="10" ht="20.1" customHeight="1" s="372">
      <c r="A10" s="37" t="n"/>
      <c r="B10" s="22" t="n"/>
      <c r="C10" s="22" t="n"/>
      <c r="D10" s="21" t="n"/>
      <c r="E10" s="21" t="n"/>
      <c r="F10" s="21" t="n"/>
      <c r="G10" s="30" t="n"/>
    </row>
    <row r="11" ht="20.1" customHeight="1" s="372">
      <c r="A11" s="37" t="n"/>
      <c r="B11" s="22" t="n"/>
      <c r="C11" s="22" t="n"/>
      <c r="D11" s="21" t="n"/>
      <c r="E11" s="21" t="n"/>
      <c r="F11" s="21" t="n"/>
      <c r="G11" s="30" t="n"/>
    </row>
    <row r="12" ht="20.1" customHeight="1" s="372">
      <c r="A12" s="37" t="n"/>
      <c r="B12" s="22" t="n"/>
      <c r="C12" s="22" t="n"/>
      <c r="D12" s="21" t="n"/>
      <c r="E12" s="21" t="n"/>
      <c r="F12" s="21" t="n"/>
      <c r="G12" s="30" t="n"/>
    </row>
    <row r="13" ht="20.1" customHeight="1" s="372">
      <c r="A13" s="37" t="n"/>
      <c r="B13" s="22" t="n"/>
      <c r="C13" s="22" t="n"/>
      <c r="D13" s="21" t="n"/>
      <c r="E13" s="21" t="n"/>
      <c r="F13" s="21" t="n"/>
      <c r="G13" s="30" t="n"/>
    </row>
    <row r="14" ht="20.1" customHeight="1" s="372">
      <c r="A14" s="37" t="n"/>
      <c r="B14" s="22" t="n"/>
      <c r="C14" s="22" t="n"/>
      <c r="D14" s="21" t="n"/>
      <c r="E14" s="21" t="n"/>
      <c r="F14" s="21" t="n"/>
      <c r="G14" s="30" t="n"/>
    </row>
    <row r="15" ht="20.1" customHeight="1" s="372">
      <c r="A15" s="37" t="n"/>
      <c r="B15" s="22" t="n"/>
      <c r="C15" s="22" t="n"/>
      <c r="D15" s="21" t="n"/>
      <c r="E15" s="21" t="n"/>
      <c r="F15" s="21" t="n"/>
      <c r="G15" s="30" t="n"/>
    </row>
    <row r="16" ht="20.1" customHeight="1" s="372">
      <c r="A16" s="37" t="n"/>
      <c r="B16" s="22" t="n"/>
      <c r="C16" s="22" t="n"/>
      <c r="D16" s="21" t="n"/>
      <c r="E16" s="21" t="n"/>
      <c r="F16" s="21" t="n"/>
      <c r="G16" s="30" t="n"/>
    </row>
    <row r="17" ht="20.1" customHeight="1" s="372">
      <c r="A17" s="37" t="n"/>
      <c r="B17" s="22" t="n"/>
      <c r="C17" s="22" t="n"/>
      <c r="D17" s="21" t="n"/>
      <c r="E17" s="21" t="n"/>
      <c r="F17" s="21" t="n"/>
      <c r="G17" s="30" t="n"/>
    </row>
    <row r="18" ht="20.1" customHeight="1" s="372">
      <c r="A18" s="37" t="n"/>
      <c r="B18" s="22" t="n"/>
      <c r="C18" s="22" t="n"/>
      <c r="D18" s="21" t="n"/>
      <c r="E18" s="21" t="n"/>
      <c r="F18" s="21" t="n"/>
      <c r="G18" s="30" t="n"/>
    </row>
    <row r="19" ht="20.1" customHeight="1" s="372">
      <c r="A19" s="102" t="n"/>
      <c r="B19" s="103" t="n"/>
      <c r="C19" s="103" t="n"/>
      <c r="D19" s="143" t="n"/>
      <c r="E19" s="143" t="n"/>
      <c r="F19" s="143" t="n"/>
      <c r="G19" s="105" t="n"/>
    </row>
    <row r="20" ht="20.1" customHeight="1" s="372">
      <c r="A20" s="451" t="inlineStr">
        <is>
          <t>당해년도 필드 고장으로 인한 비용과 영향 분석 종합 (환경, 안전 영향 포함)</t>
        </is>
      </c>
      <c r="B20" s="418" t="n"/>
      <c r="C20" s="418" t="n"/>
      <c r="D20" s="418" t="n"/>
      <c r="E20" s="418" t="n"/>
      <c r="F20" s="418" t="n"/>
      <c r="G20" s="419" t="n"/>
    </row>
    <row r="21" ht="20.1" customHeight="1" s="372">
      <c r="A21" s="452" t="n"/>
      <c r="G21" s="421" t="n"/>
    </row>
    <row r="22" ht="20.1" customHeight="1" s="372">
      <c r="A22" s="452" t="n"/>
      <c r="G22" s="421" t="n"/>
    </row>
    <row r="23" ht="20.1" customHeight="1" s="372">
      <c r="A23" s="452" t="n"/>
      <c r="G23" s="421" t="n"/>
    </row>
    <row r="24" ht="20.1" customHeight="1" s="372">
      <c r="A24" s="452" t="n"/>
      <c r="G24" s="421" t="n"/>
    </row>
    <row r="25" ht="20.1" customHeight="1" s="372">
      <c r="A25" s="453" t="n"/>
      <c r="B25" s="396" t="n"/>
      <c r="C25" s="396" t="n"/>
      <c r="D25" s="396" t="n"/>
      <c r="E25" s="396" t="n"/>
      <c r="F25" s="396" t="n"/>
      <c r="G25" s="423" t="n"/>
    </row>
  </sheetData>
  <mergeCells count="6">
    <mergeCell ref="A21:G21"/>
    <mergeCell ref="A22:G22"/>
    <mergeCell ref="A20:G20"/>
    <mergeCell ref="A24:G24"/>
    <mergeCell ref="A25:G25"/>
    <mergeCell ref="A23:G23"/>
  </mergeCells>
  <printOptions horizontalCentered="1"/>
  <pageMargins left="0.5118110236220472" right="0.5118110236220472" top="0.5905511811023622" bottom="0.3937007874015748" header="0" footer="0"/>
  <pageSetup orientation="landscape" paperSize="9"/>
</worksheet>
</file>

<file path=xl/worksheets/sheet24.xml><?xml version="1.0" encoding="utf-8"?>
<worksheet xmlns="http://schemas.openxmlformats.org/spreadsheetml/2006/main">
  <sheetPr>
    <tabColor rgb="FF0070C0"/>
    <outlinePr summaryBelow="1" summaryRight="1"/>
    <pageSetUpPr/>
  </sheetPr>
  <dimension ref="A1:H24"/>
  <sheetViews>
    <sheetView showGridLines="0" tabSelected="1" zoomScaleNormal="100" workbookViewId="0">
      <selection activeCell="N21" sqref="N21"/>
    </sheetView>
  </sheetViews>
  <sheetFormatPr baseColWidth="8" defaultRowHeight="20.1" customHeight="1"/>
  <cols>
    <col width="11" customWidth="1" style="145" min="1" max="1"/>
    <col width="15.625" customWidth="1" style="145" min="2" max="2"/>
    <col width="10.625" customWidth="1" style="145" min="3" max="3"/>
    <col width="12.625" customWidth="1" style="145" min="4" max="4"/>
    <col width="21.75" customWidth="1" style="145" min="5" max="5"/>
    <col width="22.625" customWidth="1" style="145" min="6" max="6"/>
    <col width="21.625" customWidth="1" style="146" min="7" max="7"/>
    <col width="8.875" customWidth="1" style="145" min="8" max="8"/>
    <col width="9" customWidth="1" style="146" min="9" max="16384"/>
  </cols>
  <sheetData>
    <row r="1" ht="24.95" customHeight="1" s="372">
      <c r="A1" s="96" t="inlineStr">
        <is>
          <t>Part Ⅱ-10. 개발 단계 측정 요약 결과</t>
        </is>
      </c>
    </row>
    <row r="2"/>
    <row r="3" ht="45" customHeight="1" s="372">
      <c r="A3" s="147" t="inlineStr">
        <is>
          <t>고객사</t>
        </is>
      </c>
      <c r="B3" s="148" t="inlineStr">
        <is>
          <t>개발제품명</t>
        </is>
      </c>
      <c r="C3" s="293" t="inlineStr">
        <is>
          <t>양산개시일
(준수 가능성)</t>
        </is>
      </c>
      <c r="D3" s="293" t="inlineStr">
        <is>
          <t>현단계
(APQP기준)</t>
        </is>
      </c>
      <c r="E3" s="293" t="inlineStr">
        <is>
          <t>조기 발견 리스크&amp;
관리내역과 성과</t>
        </is>
      </c>
      <c r="F3" s="293" t="inlineStr">
        <is>
          <t>신뢰성 시험 
내역 &amp; 결과</t>
        </is>
      </c>
      <c r="G3" s="293" t="inlineStr">
        <is>
          <t>원가, 투자내역 
&amp; 목표 대비 성과</t>
        </is>
      </c>
      <c r="H3" s="294" t="inlineStr">
        <is>
          <t>목표
달성여부</t>
        </is>
      </c>
    </row>
    <row r="4" ht="20.1" customHeight="1" s="372">
      <c r="A4" s="149" t="n"/>
      <c r="B4" s="150" t="n"/>
      <c r="C4" s="150" t="n"/>
      <c r="D4" s="150" t="n"/>
      <c r="E4" s="150" t="n"/>
      <c r="F4" s="150" t="n"/>
      <c r="G4" s="151" t="n"/>
      <c r="H4" s="152" t="n"/>
    </row>
    <row r="5" ht="20.1" customHeight="1" s="372">
      <c r="A5" s="153" t="n"/>
      <c r="B5" s="154" t="n"/>
      <c r="C5" s="154" t="n"/>
      <c r="D5" s="154" t="n"/>
      <c r="E5" s="154" t="n"/>
      <c r="F5" s="154" t="n"/>
      <c r="G5" s="155" t="n"/>
      <c r="H5" s="156" t="n"/>
    </row>
    <row r="6" ht="20.1" customHeight="1" s="372">
      <c r="A6" s="153" t="n"/>
      <c r="B6" s="154" t="n"/>
      <c r="C6" s="154" t="n"/>
      <c r="D6" s="154" t="n"/>
      <c r="E6" s="154" t="n"/>
      <c r="F6" s="154" t="n"/>
      <c r="G6" s="155" t="n"/>
      <c r="H6" s="156" t="n"/>
    </row>
    <row r="7" ht="20.1" customHeight="1" s="372">
      <c r="A7" s="153" t="n"/>
      <c r="B7" s="154" t="n"/>
      <c r="C7" s="154" t="n"/>
      <c r="D7" s="154" t="n"/>
      <c r="E7" s="154" t="n"/>
      <c r="F7" s="154" t="n"/>
      <c r="G7" s="155" t="n"/>
      <c r="H7" s="156" t="n"/>
    </row>
    <row r="8" ht="20.1" customHeight="1" s="372">
      <c r="A8" s="153" t="n"/>
      <c r="B8" s="154" t="n"/>
      <c r="C8" s="154" t="n"/>
      <c r="D8" s="154" t="n"/>
      <c r="E8" s="154" t="n"/>
      <c r="F8" s="154" t="n"/>
      <c r="G8" s="155" t="n"/>
      <c r="H8" s="156" t="n"/>
    </row>
    <row r="9" ht="20.1" customHeight="1" s="372">
      <c r="A9" s="153" t="n"/>
      <c r="B9" s="154" t="n"/>
      <c r="C9" s="154" t="n"/>
      <c r="D9" s="154" t="n"/>
      <c r="E9" s="154" t="n"/>
      <c r="F9" s="154" t="n"/>
      <c r="G9" s="155" t="n"/>
      <c r="H9" s="156" t="n"/>
    </row>
    <row r="10" ht="20.1" customHeight="1" s="372">
      <c r="A10" s="153" t="n"/>
      <c r="B10" s="154" t="n"/>
      <c r="C10" s="154" t="n"/>
      <c r="D10" s="154" t="n"/>
      <c r="E10" s="154" t="n"/>
      <c r="F10" s="154" t="n"/>
      <c r="G10" s="155" t="n"/>
      <c r="H10" s="156" t="n"/>
    </row>
    <row r="11" ht="20.1" customHeight="1" s="372">
      <c r="A11" s="153" t="n"/>
      <c r="B11" s="154" t="n"/>
      <c r="C11" s="154" t="n"/>
      <c r="D11" s="154" t="n"/>
      <c r="E11" s="154" t="n"/>
      <c r="F11" s="154" t="n"/>
      <c r="G11" s="155" t="n"/>
      <c r="H11" s="156" t="n"/>
    </row>
    <row r="12" ht="20.1" customHeight="1" s="372">
      <c r="A12" s="153" t="n"/>
      <c r="B12" s="154" t="n"/>
      <c r="C12" s="154" t="n"/>
      <c r="D12" s="154" t="n"/>
      <c r="E12" s="154" t="n"/>
      <c r="F12" s="154" t="n"/>
      <c r="G12" s="155" t="n"/>
      <c r="H12" s="156" t="n"/>
    </row>
    <row r="13" ht="20.1" customHeight="1" s="372">
      <c r="A13" s="153" t="n"/>
      <c r="B13" s="154" t="n"/>
      <c r="C13" s="154" t="n"/>
      <c r="D13" s="154" t="n"/>
      <c r="E13" s="154" t="n"/>
      <c r="F13" s="154" t="n"/>
      <c r="G13" s="155" t="n"/>
      <c r="H13" s="156" t="n"/>
    </row>
    <row r="14" ht="20.1" customHeight="1" s="372">
      <c r="A14" s="153" t="n"/>
      <c r="B14" s="154" t="n"/>
      <c r="C14" s="154" t="n"/>
      <c r="D14" s="154" t="n"/>
      <c r="E14" s="154" t="n"/>
      <c r="F14" s="154" t="n"/>
      <c r="G14" s="155" t="n"/>
      <c r="H14" s="156" t="n"/>
    </row>
    <row r="15" ht="20.1" customHeight="1" s="372">
      <c r="A15" s="153" t="n"/>
      <c r="B15" s="154" t="n"/>
      <c r="C15" s="154" t="n"/>
      <c r="D15" s="154" t="n"/>
      <c r="E15" s="154" t="n"/>
      <c r="F15" s="154" t="n"/>
      <c r="G15" s="155" t="n"/>
      <c r="H15" s="156" t="n"/>
    </row>
    <row r="16" ht="20.1" customHeight="1" s="372">
      <c r="A16" s="153" t="n"/>
      <c r="B16" s="154" t="n"/>
      <c r="C16" s="154" t="n"/>
      <c r="D16" s="154" t="n"/>
      <c r="E16" s="154" t="n"/>
      <c r="F16" s="154" t="n"/>
      <c r="G16" s="155" t="n"/>
      <c r="H16" s="156" t="n"/>
    </row>
    <row r="17" ht="20.1" customHeight="1" s="372">
      <c r="A17" s="153" t="n"/>
      <c r="B17" s="154" t="n"/>
      <c r="C17" s="154" t="n"/>
      <c r="D17" s="154" t="n"/>
      <c r="E17" s="154" t="n"/>
      <c r="F17" s="154" t="n"/>
      <c r="G17" s="155" t="n"/>
      <c r="H17" s="156" t="n"/>
    </row>
    <row r="18" ht="20.1" customHeight="1" s="372">
      <c r="A18" s="157" t="n"/>
      <c r="B18" s="158" t="n"/>
      <c r="C18" s="158" t="n"/>
      <c r="D18" s="158" t="n"/>
      <c r="E18" s="158" t="n"/>
      <c r="F18" s="158" t="n"/>
      <c r="G18" s="159" t="n"/>
      <c r="H18" s="160" t="n"/>
    </row>
    <row r="19" ht="20.1" customHeight="1" s="372">
      <c r="A19" s="454" t="inlineStr">
        <is>
          <t>주요 이슈 (투자 및 경영 의사 결정 필요사항)</t>
        </is>
      </c>
      <c r="B19" s="418" t="n"/>
      <c r="C19" s="418" t="n"/>
      <c r="D19" s="418" t="n"/>
      <c r="E19" s="418" t="n"/>
      <c r="F19" s="418" t="n"/>
      <c r="G19" s="418" t="n"/>
      <c r="H19" s="419" t="n"/>
    </row>
    <row r="20" ht="20.1" customHeight="1" s="372">
      <c r="A20" s="455" t="n"/>
      <c r="H20" s="421" t="n"/>
    </row>
    <row r="21" ht="20.1" customHeight="1" s="372">
      <c r="A21" s="455" t="n"/>
      <c r="H21" s="421" t="n"/>
    </row>
    <row r="22" ht="20.1" customHeight="1" s="372">
      <c r="A22" s="455" t="n"/>
      <c r="H22" s="421" t="n"/>
    </row>
    <row r="23" ht="20.1" customHeight="1" s="372">
      <c r="A23" s="455" t="n"/>
      <c r="H23" s="421" t="n"/>
    </row>
    <row r="24" ht="20.1" customHeight="1" s="372">
      <c r="A24" s="456" t="n"/>
      <c r="B24" s="396" t="n"/>
      <c r="C24" s="396" t="n"/>
      <c r="D24" s="396" t="n"/>
      <c r="E24" s="396" t="n"/>
      <c r="F24" s="396" t="n"/>
      <c r="G24" s="396" t="n"/>
      <c r="H24" s="423" t="n"/>
    </row>
  </sheetData>
  <mergeCells count="6">
    <mergeCell ref="A21:H21"/>
    <mergeCell ref="A20:H20"/>
    <mergeCell ref="A24:H24"/>
    <mergeCell ref="A19:H19"/>
    <mergeCell ref="A23:H23"/>
    <mergeCell ref="A22:H22"/>
  </mergeCells>
  <printOptions horizontalCentered="1"/>
  <pageMargins left="0.5118110236220472" right="0.5118110236220472" top="0.5905511811023622" bottom="0.3937007874015748" header="0" footer="0"/>
  <pageSetup orientation="landscape" paperSize="9" horizontalDpi="1200" verticalDpi="1200"/>
</worksheet>
</file>

<file path=xl/worksheets/sheet25.xml><?xml version="1.0" encoding="utf-8"?>
<worksheet xmlns="http://schemas.openxmlformats.org/spreadsheetml/2006/main">
  <sheetPr>
    <tabColor rgb="FF00B050"/>
    <outlinePr summaryBelow="1" summaryRight="1"/>
    <pageSetUpPr/>
  </sheetPr>
  <dimension ref="A1:I24"/>
  <sheetViews>
    <sheetView showGridLines="0" zoomScaleNormal="100" workbookViewId="0">
      <selection activeCell="F17" sqref="F17"/>
    </sheetView>
  </sheetViews>
  <sheetFormatPr baseColWidth="8" defaultRowHeight="20.1" customHeight="1"/>
  <cols>
    <col width="3.625" customWidth="1" style="145" min="1" max="1"/>
    <col width="15.625" customWidth="1" style="145" min="2" max="2"/>
    <col width="8.625" customWidth="1" style="145" min="3" max="3"/>
    <col width="12.625" customWidth="1" style="145" min="4" max="4"/>
    <col width="15.625" customWidth="1" style="145" min="5" max="5"/>
    <col width="20.625" customWidth="1" style="370" min="6" max="7"/>
    <col width="10.625" customWidth="1" style="145" min="8" max="8"/>
    <col width="12.625" customWidth="1" style="145" min="9" max="9"/>
    <col width="9" customWidth="1" style="146" min="10" max="16384"/>
  </cols>
  <sheetData>
    <row r="1" ht="20.1" customHeight="1" s="372">
      <c r="A1" s="240" t="inlineStr">
        <is>
          <t>Part Ⅲ-1 조직의 중대한 환경측면 변경사항</t>
        </is>
      </c>
      <c r="I1" s="250" t="n"/>
    </row>
    <row r="2"/>
    <row r="3" ht="20.1" customHeight="1" s="372">
      <c r="A3" s="242" t="inlineStr">
        <is>
          <t>No</t>
        </is>
      </c>
      <c r="B3" s="243" t="inlineStr">
        <is>
          <t>환경측면</t>
        </is>
      </c>
      <c r="C3" s="243" t="inlineStr">
        <is>
          <t>구분</t>
        </is>
      </c>
      <c r="D3" s="243" t="inlineStr">
        <is>
          <t>변경사항</t>
        </is>
      </c>
      <c r="E3" s="243" t="inlineStr">
        <is>
          <t>변경 Spec.</t>
        </is>
      </c>
      <c r="F3" s="243" t="inlineStr">
        <is>
          <t>환경영향평가 항목</t>
        </is>
      </c>
      <c r="G3" s="243" t="inlineStr">
        <is>
          <t>환경영향 평가결과</t>
        </is>
      </c>
      <c r="H3" s="243" t="inlineStr">
        <is>
          <t>변경일자</t>
        </is>
      </c>
      <c r="I3" s="244" t="inlineStr">
        <is>
          <t>확인자/기관</t>
        </is>
      </c>
    </row>
    <row r="4" ht="20.1" customHeight="1" s="372">
      <c r="A4" s="153" t="n"/>
      <c r="B4" s="154" t="n"/>
      <c r="C4" s="154" t="n"/>
      <c r="D4" s="154" t="n"/>
      <c r="E4" s="154" t="n"/>
      <c r="F4" s="248" t="n"/>
      <c r="G4" s="248" t="n"/>
      <c r="H4" s="154" t="n"/>
      <c r="I4" s="156" t="n"/>
    </row>
    <row r="5" ht="20.1" customHeight="1" s="372">
      <c r="A5" s="153" t="n"/>
      <c r="B5" s="154" t="n"/>
      <c r="C5" s="154" t="n"/>
      <c r="D5" s="154" t="n"/>
      <c r="E5" s="154" t="n"/>
      <c r="F5" s="248" t="n"/>
      <c r="G5" s="248" t="n"/>
      <c r="H5" s="154" t="n"/>
      <c r="I5" s="156" t="n"/>
    </row>
    <row r="6" ht="20.1" customHeight="1" s="372">
      <c r="A6" s="153" t="n"/>
      <c r="B6" s="154" t="n"/>
      <c r="C6" s="154" t="n"/>
      <c r="D6" s="154" t="n"/>
      <c r="E6" s="154" t="n"/>
      <c r="F6" s="248" t="n"/>
      <c r="G6" s="248" t="n"/>
      <c r="H6" s="154" t="n"/>
      <c r="I6" s="156" t="n"/>
    </row>
    <row r="7" ht="20.1" customHeight="1" s="372">
      <c r="A7" s="153" t="n"/>
      <c r="B7" s="154" t="n"/>
      <c r="C7" s="154" t="n"/>
      <c r="D7" s="154" t="n"/>
      <c r="E7" s="154" t="n"/>
      <c r="F7" s="248" t="n"/>
      <c r="G7" s="248" t="n"/>
      <c r="H7" s="154" t="n"/>
      <c r="I7" s="156" t="n"/>
    </row>
    <row r="8" ht="20.1" customHeight="1" s="372">
      <c r="A8" s="153" t="n"/>
      <c r="B8" s="154" t="n"/>
      <c r="C8" s="154" t="n"/>
      <c r="D8" s="154" t="n"/>
      <c r="E8" s="154" t="n"/>
      <c r="F8" s="248" t="n"/>
      <c r="G8" s="248" t="n"/>
      <c r="H8" s="154" t="n"/>
      <c r="I8" s="156" t="n"/>
    </row>
    <row r="9" ht="20.1" customHeight="1" s="372">
      <c r="A9" s="153" t="n"/>
      <c r="B9" s="154" t="n"/>
      <c r="C9" s="154" t="n"/>
      <c r="D9" s="154" t="n"/>
      <c r="E9" s="154" t="n"/>
      <c r="F9" s="248" t="n"/>
      <c r="G9" s="248" t="n"/>
      <c r="H9" s="154" t="n"/>
      <c r="I9" s="156" t="n"/>
    </row>
    <row r="10" ht="20.1" customHeight="1" s="372">
      <c r="A10" s="153" t="n"/>
      <c r="B10" s="154" t="n"/>
      <c r="C10" s="154" t="n"/>
      <c r="D10" s="154" t="n"/>
      <c r="E10" s="154" t="n"/>
      <c r="F10" s="248" t="n"/>
      <c r="G10" s="248" t="n"/>
      <c r="H10" s="154" t="n"/>
      <c r="I10" s="156" t="n"/>
    </row>
    <row r="11" ht="20.1" customHeight="1" s="372">
      <c r="A11" s="153" t="n"/>
      <c r="B11" s="154" t="n"/>
      <c r="C11" s="154" t="n"/>
      <c r="D11" s="154" t="n"/>
      <c r="E11" s="154" t="n"/>
      <c r="F11" s="248" t="n"/>
      <c r="G11" s="248" t="n"/>
      <c r="H11" s="154" t="n"/>
      <c r="I11" s="156" t="n"/>
    </row>
    <row r="12" ht="20.1" customHeight="1" s="372">
      <c r="A12" s="153" t="n"/>
      <c r="B12" s="154" t="n"/>
      <c r="C12" s="154" t="n"/>
      <c r="D12" s="154" t="n"/>
      <c r="E12" s="154" t="n"/>
      <c r="F12" s="248" t="n"/>
      <c r="G12" s="248" t="n"/>
      <c r="H12" s="154" t="n"/>
      <c r="I12" s="156" t="n"/>
    </row>
    <row r="13" ht="20.1" customHeight="1" s="372">
      <c r="A13" s="153" t="n"/>
      <c r="B13" s="154" t="n"/>
      <c r="C13" s="154" t="n"/>
      <c r="D13" s="154" t="n"/>
      <c r="E13" s="154" t="n"/>
      <c r="F13" s="248" t="n"/>
      <c r="G13" s="248" t="n"/>
      <c r="H13" s="154" t="n"/>
      <c r="I13" s="156" t="n"/>
    </row>
    <row r="14" ht="20.1" customHeight="1" s="372">
      <c r="A14" s="153" t="n"/>
      <c r="B14" s="154" t="n"/>
      <c r="C14" s="154" t="n"/>
      <c r="D14" s="154" t="n"/>
      <c r="E14" s="154" t="n"/>
      <c r="F14" s="248" t="n"/>
      <c r="G14" s="248" t="n"/>
      <c r="H14" s="154" t="n"/>
      <c r="I14" s="156" t="n"/>
    </row>
    <row r="15" ht="20.1" customHeight="1" s="372">
      <c r="A15" s="153" t="n"/>
      <c r="B15" s="154" t="n"/>
      <c r="C15" s="154" t="n"/>
      <c r="D15" s="154" t="n"/>
      <c r="E15" s="154" t="n"/>
      <c r="F15" s="248" t="n"/>
      <c r="G15" s="248" t="n"/>
      <c r="H15" s="154" t="n"/>
      <c r="I15" s="156" t="n"/>
    </row>
    <row r="16" ht="20.1" customHeight="1" s="372">
      <c r="A16" s="153" t="n"/>
      <c r="B16" s="154" t="n"/>
      <c r="C16" s="154" t="n"/>
      <c r="D16" s="154" t="n"/>
      <c r="E16" s="154" t="n"/>
      <c r="F16" s="248" t="n"/>
      <c r="G16" s="248" t="n"/>
      <c r="H16" s="154" t="n"/>
      <c r="I16" s="156" t="n"/>
    </row>
    <row r="17" ht="20.1" customHeight="1" s="372">
      <c r="A17" s="153" t="n"/>
      <c r="B17" s="154" t="n"/>
      <c r="C17" s="154" t="n"/>
      <c r="D17" s="154" t="n"/>
      <c r="E17" s="154" t="n"/>
      <c r="F17" s="248" t="n"/>
      <c r="G17" s="248" t="n"/>
      <c r="H17" s="154" t="n"/>
      <c r="I17" s="156" t="n"/>
    </row>
    <row r="18" ht="20.1" customHeight="1" s="372">
      <c r="A18" s="153" t="n"/>
      <c r="B18" s="154" t="n"/>
      <c r="C18" s="154" t="n"/>
      <c r="D18" s="154" t="n"/>
      <c r="E18" s="154" t="n"/>
      <c r="F18" s="248" t="n"/>
      <c r="G18" s="248" t="n"/>
      <c r="H18" s="154" t="n"/>
      <c r="I18" s="156" t="n"/>
    </row>
    <row r="19" ht="20.1" customHeight="1" s="372">
      <c r="A19" s="153" t="n"/>
      <c r="B19" s="154" t="n"/>
      <c r="C19" s="154" t="n"/>
      <c r="D19" s="154" t="n"/>
      <c r="E19" s="154" t="n"/>
      <c r="F19" s="248" t="n"/>
      <c r="G19" s="248" t="n"/>
      <c r="H19" s="154" t="n"/>
      <c r="I19" s="156" t="n"/>
    </row>
    <row r="20" ht="20.1" customHeight="1" s="372">
      <c r="A20" s="153" t="n"/>
      <c r="B20" s="154" t="n"/>
      <c r="C20" s="154" t="n"/>
      <c r="D20" s="154" t="n"/>
      <c r="E20" s="154" t="n"/>
      <c r="F20" s="248" t="n"/>
      <c r="G20" s="248" t="n"/>
      <c r="H20" s="154" t="n"/>
      <c r="I20" s="156" t="n"/>
    </row>
    <row r="21" ht="20.1" customHeight="1" s="372">
      <c r="A21" s="153" t="n"/>
      <c r="B21" s="154" t="n"/>
      <c r="C21" s="154" t="n"/>
      <c r="D21" s="154" t="n"/>
      <c r="E21" s="154" t="n"/>
      <c r="F21" s="248" t="n"/>
      <c r="G21" s="248" t="n"/>
      <c r="H21" s="154" t="n"/>
      <c r="I21" s="156" t="n"/>
    </row>
    <row r="22" ht="20.1" customHeight="1" s="372">
      <c r="A22" s="153" t="n"/>
      <c r="B22" s="154" t="n"/>
      <c r="C22" s="154" t="n"/>
      <c r="D22" s="154" t="n"/>
      <c r="E22" s="154" t="n"/>
      <c r="F22" s="248" t="n"/>
      <c r="G22" s="248" t="n"/>
      <c r="H22" s="154" t="n"/>
      <c r="I22" s="156" t="n"/>
    </row>
    <row r="23" ht="20.1" customHeight="1" s="372">
      <c r="A23" s="153" t="n"/>
      <c r="B23" s="154" t="n"/>
      <c r="C23" s="154" t="n"/>
      <c r="D23" s="154" t="n"/>
      <c r="E23" s="154" t="n"/>
      <c r="F23" s="248" t="n"/>
      <c r="G23" s="248" t="n"/>
      <c r="H23" s="154" t="n"/>
      <c r="I23" s="156" t="n"/>
    </row>
    <row r="24" ht="20.1" customHeight="1" s="372">
      <c r="A24" s="157" t="n"/>
      <c r="B24" s="158" t="n"/>
      <c r="C24" s="158" t="n"/>
      <c r="D24" s="158" t="n"/>
      <c r="E24" s="158" t="n"/>
      <c r="F24" s="249" t="n"/>
      <c r="G24" s="249" t="n"/>
      <c r="H24" s="158" t="n"/>
      <c r="I24" s="160" t="n"/>
    </row>
  </sheetData>
  <printOptions horizontalCentered="1"/>
  <pageMargins left="0.5118110236220472" right="0.5118110236220472" top="0.5905511811023622" bottom="0.3937007874015748" header="0" footer="0"/>
  <pageSetup orientation="landscape" paperSize="9" horizontalDpi="300" verticalDpi="300"/>
</worksheet>
</file>

<file path=xl/worksheets/sheet26.xml><?xml version="1.0" encoding="utf-8"?>
<worksheet xmlns="http://schemas.openxmlformats.org/spreadsheetml/2006/main">
  <sheetPr>
    <tabColor rgb="FF00B050"/>
    <outlinePr summaryBelow="1" summaryRight="1"/>
    <pageSetUpPr/>
  </sheetPr>
  <dimension ref="A1:I24"/>
  <sheetViews>
    <sheetView showGridLines="0" zoomScaleNormal="100" workbookViewId="0">
      <selection activeCell="G10" sqref="G10"/>
    </sheetView>
  </sheetViews>
  <sheetFormatPr baseColWidth="8" defaultRowHeight="20.1" customHeight="1"/>
  <cols>
    <col width="3.625" customWidth="1" style="145" min="1" max="1"/>
    <col width="15.625" customWidth="1" style="145" min="2" max="2"/>
    <col width="9" customWidth="1" style="145" min="3" max="3"/>
    <col width="25.625" customWidth="1" style="146" min="4" max="4"/>
    <col width="15.625" customWidth="1" style="146" min="5" max="5"/>
    <col width="9" customWidth="1" style="145" min="6" max="6"/>
    <col width="15.625" customWidth="1" style="146" min="7" max="7"/>
    <col width="12.625" customWidth="1" style="145" min="8" max="9"/>
    <col width="9" customWidth="1" style="146" min="10" max="16384"/>
  </cols>
  <sheetData>
    <row r="1" ht="24.95" customHeight="1" s="372">
      <c r="A1" s="240" t="inlineStr">
        <is>
          <t>Part Ⅲ-2 환경목표의 달성 정도와 준수의무사항 충족</t>
        </is>
      </c>
    </row>
    <row r="2"/>
    <row r="3" ht="20.1" customHeight="1" s="372">
      <c r="A3" s="370" t="inlineStr">
        <is>
          <t>1) 환경목표 달성 정도</t>
        </is>
      </c>
    </row>
    <row r="4" ht="20.1" customHeight="1" s="372">
      <c r="A4" s="242" t="inlineStr">
        <is>
          <t>No</t>
        </is>
      </c>
      <c r="B4" s="243" t="inlineStr">
        <is>
          <t xml:space="preserve">환경 목표 </t>
        </is>
      </c>
      <c r="C4" s="243" t="inlineStr">
        <is>
          <t>목표 대상</t>
        </is>
      </c>
      <c r="D4" s="243" t="inlineStr">
        <is>
          <t>목표달성활동</t>
        </is>
      </c>
      <c r="E4" s="243" t="inlineStr">
        <is>
          <t>성과/달성율</t>
        </is>
      </c>
      <c r="F4" s="243" t="inlineStr">
        <is>
          <t>부서/담당</t>
        </is>
      </c>
      <c r="G4" s="243" t="inlineStr">
        <is>
          <t>사후관리사항</t>
        </is>
      </c>
      <c r="H4" s="243" t="inlineStr">
        <is>
          <t>관련기록</t>
        </is>
      </c>
      <c r="I4" s="244" t="inlineStr">
        <is>
          <t>관계기관</t>
        </is>
      </c>
    </row>
    <row r="5" ht="20.1" customHeight="1" s="372">
      <c r="A5" s="149" t="n"/>
      <c r="B5" s="150" t="n"/>
      <c r="C5" s="150" t="n"/>
      <c r="D5" s="151" t="n"/>
      <c r="E5" s="151" t="n"/>
      <c r="F5" s="150" t="n"/>
      <c r="G5" s="151" t="n"/>
      <c r="H5" s="150" t="n"/>
      <c r="I5" s="152" t="n"/>
    </row>
    <row r="6" ht="20.1" customHeight="1" s="372">
      <c r="A6" s="153" t="n"/>
      <c r="B6" s="154" t="n"/>
      <c r="C6" s="154" t="n"/>
      <c r="D6" s="155" t="n"/>
      <c r="E6" s="155" t="n"/>
      <c r="F6" s="154" t="n"/>
      <c r="G6" s="155" t="n"/>
      <c r="H6" s="154" t="n"/>
      <c r="I6" s="156" t="n"/>
    </row>
    <row r="7" ht="20.1" customHeight="1" s="372">
      <c r="A7" s="153" t="n"/>
      <c r="B7" s="154" t="n"/>
      <c r="C7" s="154" t="n"/>
      <c r="D7" s="155" t="n"/>
      <c r="E7" s="155" t="n"/>
      <c r="F7" s="154" t="n"/>
      <c r="G7" s="155" t="n"/>
      <c r="H7" s="154" t="n"/>
      <c r="I7" s="156" t="n"/>
    </row>
    <row r="8" ht="20.1" customHeight="1" s="372">
      <c r="A8" s="153" t="n"/>
      <c r="B8" s="154" t="n"/>
      <c r="C8" s="154" t="n"/>
      <c r="D8" s="155" t="n"/>
      <c r="E8" s="155" t="n"/>
      <c r="F8" s="154" t="n"/>
      <c r="G8" s="155" t="n"/>
      <c r="H8" s="154" t="n"/>
      <c r="I8" s="156" t="n"/>
    </row>
    <row r="9" ht="20.1" customHeight="1" s="372">
      <c r="A9" s="153" t="n"/>
      <c r="B9" s="154" t="n"/>
      <c r="C9" s="154" t="n"/>
      <c r="D9" s="155" t="n"/>
      <c r="E9" s="155" t="n"/>
      <c r="F9" s="154" t="n"/>
      <c r="G9" s="155" t="n"/>
      <c r="H9" s="154" t="n"/>
      <c r="I9" s="156" t="n"/>
    </row>
    <row r="10" ht="20.1" customHeight="1" s="372">
      <c r="A10" s="153" t="n"/>
      <c r="B10" s="154" t="n"/>
      <c r="C10" s="154" t="n"/>
      <c r="D10" s="155" t="n"/>
      <c r="E10" s="155" t="n"/>
      <c r="F10" s="154" t="n"/>
      <c r="G10" s="155" t="n"/>
      <c r="H10" s="154" t="n"/>
      <c r="I10" s="156" t="n"/>
    </row>
    <row r="11" ht="20.1" customHeight="1" s="372">
      <c r="A11" s="153" t="n"/>
      <c r="B11" s="154" t="n"/>
      <c r="C11" s="154" t="n"/>
      <c r="D11" s="155" t="n"/>
      <c r="E11" s="155" t="n"/>
      <c r="F11" s="154" t="n"/>
      <c r="G11" s="155" t="n"/>
      <c r="H11" s="154" t="n"/>
      <c r="I11" s="156" t="n"/>
    </row>
    <row r="12" ht="20.1" customHeight="1" s="372">
      <c r="A12" s="157" t="n"/>
      <c r="B12" s="158" t="n"/>
      <c r="C12" s="158" t="n"/>
      <c r="D12" s="159" t="n"/>
      <c r="E12" s="159" t="n"/>
      <c r="F12" s="158" t="n"/>
      <c r="G12" s="159" t="n"/>
      <c r="H12" s="158" t="n"/>
      <c r="I12" s="160" t="n"/>
    </row>
    <row r="13"/>
    <row r="14" ht="20.1" customHeight="1" s="372">
      <c r="A14" s="370" t="inlineStr">
        <is>
          <t>2) 준수의무사항 충족</t>
        </is>
      </c>
    </row>
    <row r="15" ht="20.1" customHeight="1" s="372">
      <c r="A15" s="242" t="inlineStr">
        <is>
          <t>No</t>
        </is>
      </c>
      <c r="B15" s="243" t="inlineStr">
        <is>
          <t>준수의무사항</t>
        </is>
      </c>
      <c r="C15" s="243" t="inlineStr">
        <is>
          <t>구분</t>
        </is>
      </c>
      <c r="D15" s="243" t="inlineStr">
        <is>
          <t>의무사항 준수 활동</t>
        </is>
      </c>
      <c r="E15" s="243" t="inlineStr">
        <is>
          <t>성과</t>
        </is>
      </c>
      <c r="F15" s="243" t="inlineStr">
        <is>
          <t>부서/담당</t>
        </is>
      </c>
      <c r="G15" s="243" t="inlineStr">
        <is>
          <t>수평전개 내역</t>
        </is>
      </c>
      <c r="H15" s="243" t="inlineStr">
        <is>
          <t>관련기록</t>
        </is>
      </c>
      <c r="I15" s="244" t="inlineStr">
        <is>
          <t>관계기관</t>
        </is>
      </c>
    </row>
    <row r="16" ht="20.1" customHeight="1" s="372">
      <c r="A16" s="149" t="n"/>
      <c r="B16" s="150" t="n"/>
      <c r="C16" s="150" t="n"/>
      <c r="D16" s="151" t="n"/>
      <c r="E16" s="151" t="n"/>
      <c r="F16" s="150" t="n"/>
      <c r="G16" s="151" t="n"/>
      <c r="H16" s="150" t="n"/>
      <c r="I16" s="152" t="n"/>
    </row>
    <row r="17" ht="20.1" customHeight="1" s="372">
      <c r="A17" s="153" t="n"/>
      <c r="B17" s="154" t="n"/>
      <c r="C17" s="154" t="n"/>
      <c r="D17" s="155" t="n"/>
      <c r="E17" s="155" t="n"/>
      <c r="F17" s="154" t="n"/>
      <c r="G17" s="155" t="n"/>
      <c r="H17" s="154" t="n"/>
      <c r="I17" s="156" t="n"/>
    </row>
    <row r="18" ht="20.1" customHeight="1" s="372">
      <c r="A18" s="153" t="n"/>
      <c r="B18" s="154" t="n"/>
      <c r="C18" s="154" t="n"/>
      <c r="D18" s="155" t="n"/>
      <c r="E18" s="155" t="n"/>
      <c r="F18" s="154" t="n"/>
      <c r="G18" s="155" t="n"/>
      <c r="H18" s="154" t="n"/>
      <c r="I18" s="156" t="n"/>
    </row>
    <row r="19" ht="20.1" customHeight="1" s="372">
      <c r="A19" s="153" t="n"/>
      <c r="B19" s="154" t="n"/>
      <c r="C19" s="154" t="n"/>
      <c r="D19" s="155" t="n"/>
      <c r="E19" s="155" t="n"/>
      <c r="F19" s="154" t="n"/>
      <c r="G19" s="155" t="n"/>
      <c r="H19" s="154" t="n"/>
      <c r="I19" s="156" t="n"/>
    </row>
    <row r="20" ht="20.1" customHeight="1" s="372">
      <c r="A20" s="153" t="n"/>
      <c r="B20" s="154" t="n"/>
      <c r="C20" s="154" t="n"/>
      <c r="D20" s="155" t="n"/>
      <c r="E20" s="155" t="n"/>
      <c r="F20" s="154" t="n"/>
      <c r="G20" s="155" t="n"/>
      <c r="H20" s="154" t="n"/>
      <c r="I20" s="156" t="n"/>
    </row>
    <row r="21" ht="20.1" customHeight="1" s="372">
      <c r="A21" s="153" t="n"/>
      <c r="B21" s="154" t="n"/>
      <c r="C21" s="154" t="n"/>
      <c r="D21" s="155" t="n"/>
      <c r="E21" s="155" t="n"/>
      <c r="F21" s="154" t="n"/>
      <c r="G21" s="155" t="n"/>
      <c r="H21" s="154" t="n"/>
      <c r="I21" s="156" t="n"/>
    </row>
    <row r="22" ht="20.1" customHeight="1" s="372">
      <c r="A22" s="153" t="n"/>
      <c r="B22" s="154" t="n"/>
      <c r="C22" s="154" t="n"/>
      <c r="D22" s="155" t="n"/>
      <c r="E22" s="155" t="n"/>
      <c r="F22" s="154" t="n"/>
      <c r="G22" s="155" t="n"/>
      <c r="H22" s="154" t="n"/>
      <c r="I22" s="156" t="n"/>
    </row>
    <row r="23" ht="20.1" customHeight="1" s="372">
      <c r="A23" s="153" t="n"/>
      <c r="B23" s="154" t="n"/>
      <c r="C23" s="154" t="n"/>
      <c r="D23" s="155" t="n"/>
      <c r="E23" s="155" t="n"/>
      <c r="F23" s="154" t="n"/>
      <c r="G23" s="155" t="n"/>
      <c r="H23" s="154" t="n"/>
      <c r="I23" s="156" t="n"/>
    </row>
    <row r="24" ht="20.1" customHeight="1" s="372">
      <c r="A24" s="157" t="n"/>
      <c r="B24" s="158" t="n"/>
      <c r="C24" s="158" t="n"/>
      <c r="D24" s="159" t="n"/>
      <c r="E24" s="159" t="n"/>
      <c r="F24" s="158" t="n"/>
      <c r="G24" s="159" t="n"/>
      <c r="H24" s="158" t="n"/>
      <c r="I24" s="160" t="n"/>
    </row>
  </sheetData>
  <printOptions horizontalCentered="1"/>
  <pageMargins left="0.5118110236220472" right="0.5118110236220472" top="0.5905511811023622" bottom="0.3937007874015748" header="0" footer="0"/>
  <pageSetup orientation="landscape" paperSize="9" horizontalDpi="300" verticalDpi="300"/>
</worksheet>
</file>

<file path=xl/worksheets/sheet27.xml><?xml version="1.0" encoding="utf-8"?>
<worksheet xmlns="http://schemas.openxmlformats.org/spreadsheetml/2006/main">
  <sheetPr>
    <tabColor rgb="FF00B050"/>
    <outlinePr summaryBelow="1" summaryRight="1"/>
    <pageSetUpPr/>
  </sheetPr>
  <dimension ref="A1:I24"/>
  <sheetViews>
    <sheetView showGridLines="0" zoomScaleNormal="100" workbookViewId="0">
      <selection activeCell="C3" sqref="C3"/>
    </sheetView>
  </sheetViews>
  <sheetFormatPr baseColWidth="8" defaultRowHeight="20.1" customHeight="1"/>
  <cols>
    <col width="3.625" customWidth="1" style="145" min="1" max="1"/>
    <col width="8.625" customWidth="1" style="145" min="2" max="2"/>
    <col width="12.625" customWidth="1" style="145" min="3" max="3"/>
    <col width="24.625" customWidth="1" style="146" min="4" max="4"/>
    <col width="8.625" customWidth="1" style="145" min="5" max="6"/>
    <col width="24.625" customWidth="1" style="146" min="7" max="7"/>
    <col width="12.625" customWidth="1" style="145" min="8" max="8"/>
    <col width="15.625" customWidth="1" style="370" min="9" max="9"/>
    <col width="9" customWidth="1" style="146" min="10" max="16384"/>
  </cols>
  <sheetData>
    <row r="1" ht="24.95" customHeight="1" s="372">
      <c r="A1" s="240" t="inlineStr">
        <is>
          <t>Part Ⅲ-3 이해관계자 의사소통</t>
        </is>
      </c>
    </row>
    <row r="2"/>
    <row r="3" ht="20.1" customHeight="1" s="372">
      <c r="A3" s="242" t="inlineStr">
        <is>
          <t>No</t>
        </is>
      </c>
      <c r="B3" s="243" t="inlineStr">
        <is>
          <t>일자</t>
        </is>
      </c>
      <c r="C3" s="243" t="inlineStr">
        <is>
          <t>이해관계자</t>
        </is>
      </c>
      <c r="D3" s="243" t="inlineStr">
        <is>
          <t>이해관계자의 의견</t>
        </is>
      </c>
      <c r="E3" s="243" t="inlineStr">
        <is>
          <t>구분</t>
        </is>
      </c>
      <c r="F3" s="243" t="inlineStr">
        <is>
          <t>요청일자</t>
        </is>
      </c>
      <c r="G3" s="243" t="inlineStr">
        <is>
          <t>조치내역</t>
        </is>
      </c>
      <c r="H3" s="243" t="inlineStr">
        <is>
          <t>부서/담당</t>
        </is>
      </c>
      <c r="I3" s="244" t="inlineStr">
        <is>
          <t>관련기록</t>
        </is>
      </c>
    </row>
    <row r="4" ht="20.1" customHeight="1" s="372">
      <c r="A4" s="149" t="n"/>
      <c r="B4" s="150" t="n"/>
      <c r="C4" s="150" t="n"/>
      <c r="D4" s="151" t="n"/>
      <c r="E4" s="150" t="n"/>
      <c r="F4" s="150" t="n"/>
      <c r="G4" s="151" t="n"/>
      <c r="H4" s="150" t="n"/>
      <c r="I4" s="245" t="n"/>
    </row>
    <row r="5" ht="20.1" customHeight="1" s="372">
      <c r="A5" s="153" t="n"/>
      <c r="B5" s="154" t="n"/>
      <c r="C5" s="154" t="n"/>
      <c r="D5" s="155" t="n"/>
      <c r="E5" s="154" t="n"/>
      <c r="F5" s="154" t="n"/>
      <c r="G5" s="155" t="n"/>
      <c r="H5" s="154" t="n"/>
      <c r="I5" s="246" t="n"/>
    </row>
    <row r="6" ht="20.1" customHeight="1" s="372">
      <c r="A6" s="153" t="n"/>
      <c r="B6" s="154" t="n"/>
      <c r="C6" s="154" t="n"/>
      <c r="D6" s="155" t="n"/>
      <c r="E6" s="154" t="n"/>
      <c r="F6" s="154" t="n"/>
      <c r="G6" s="155" t="n"/>
      <c r="H6" s="154" t="n"/>
      <c r="I6" s="246" t="n"/>
    </row>
    <row r="7" ht="20.1" customHeight="1" s="372">
      <c r="A7" s="153" t="n"/>
      <c r="B7" s="154" t="n"/>
      <c r="C7" s="154" t="n"/>
      <c r="D7" s="155" t="n"/>
      <c r="E7" s="154" t="n"/>
      <c r="F7" s="154" t="n"/>
      <c r="G7" s="155" t="n"/>
      <c r="H7" s="154" t="n"/>
      <c r="I7" s="246" t="n"/>
    </row>
    <row r="8" ht="20.1" customHeight="1" s="372">
      <c r="A8" s="153" t="n"/>
      <c r="B8" s="154" t="n"/>
      <c r="C8" s="154" t="n"/>
      <c r="D8" s="155" t="n"/>
      <c r="E8" s="154" t="n"/>
      <c r="F8" s="154" t="n"/>
      <c r="G8" s="155" t="n"/>
      <c r="H8" s="154" t="n"/>
      <c r="I8" s="246" t="n"/>
    </row>
    <row r="9" ht="20.1" customHeight="1" s="372">
      <c r="A9" s="153" t="n"/>
      <c r="B9" s="154" t="n"/>
      <c r="C9" s="154" t="n"/>
      <c r="D9" s="155" t="n"/>
      <c r="E9" s="154" t="n"/>
      <c r="F9" s="154" t="n"/>
      <c r="G9" s="155" t="n"/>
      <c r="H9" s="154" t="n"/>
      <c r="I9" s="246" t="n"/>
    </row>
    <row r="10" ht="20.1" customHeight="1" s="372">
      <c r="A10" s="153" t="n"/>
      <c r="B10" s="154" t="n"/>
      <c r="C10" s="154" t="n"/>
      <c r="D10" s="155" t="n"/>
      <c r="E10" s="154" t="n"/>
      <c r="F10" s="154" t="n"/>
      <c r="G10" s="155" t="n"/>
      <c r="H10" s="154" t="n"/>
      <c r="I10" s="246" t="n"/>
    </row>
    <row r="11" ht="20.1" customHeight="1" s="372">
      <c r="A11" s="153" t="n"/>
      <c r="B11" s="154" t="n"/>
      <c r="C11" s="154" t="n"/>
      <c r="D11" s="155" t="n"/>
      <c r="E11" s="154" t="n"/>
      <c r="F11" s="154" t="n"/>
      <c r="G11" s="155" t="n"/>
      <c r="H11" s="154" t="n"/>
      <c r="I11" s="246" t="n"/>
    </row>
    <row r="12" ht="20.1" customHeight="1" s="372">
      <c r="A12" s="153" t="n"/>
      <c r="B12" s="154" t="n"/>
      <c r="C12" s="154" t="n"/>
      <c r="D12" s="155" t="n"/>
      <c r="E12" s="154" t="n"/>
      <c r="F12" s="154" t="n"/>
      <c r="G12" s="155" t="n"/>
      <c r="H12" s="154" t="n"/>
      <c r="I12" s="246" t="n"/>
    </row>
    <row r="13" ht="20.1" customHeight="1" s="372">
      <c r="A13" s="153" t="n"/>
      <c r="B13" s="154" t="n"/>
      <c r="C13" s="154" t="n"/>
      <c r="D13" s="155" t="n"/>
      <c r="E13" s="154" t="n"/>
      <c r="F13" s="154" t="n"/>
      <c r="G13" s="155" t="n"/>
      <c r="H13" s="154" t="n"/>
      <c r="I13" s="246" t="n"/>
    </row>
    <row r="14" ht="20.1" customHeight="1" s="372">
      <c r="A14" s="153" t="n"/>
      <c r="B14" s="154" t="n"/>
      <c r="C14" s="154" t="n"/>
      <c r="D14" s="155" t="n"/>
      <c r="E14" s="154" t="n"/>
      <c r="F14" s="154" t="n"/>
      <c r="G14" s="155" t="n"/>
      <c r="H14" s="154" t="n"/>
      <c r="I14" s="246" t="n"/>
    </row>
    <row r="15" ht="20.1" customHeight="1" s="372">
      <c r="A15" s="153" t="n"/>
      <c r="B15" s="154" t="n"/>
      <c r="C15" s="154" t="n"/>
      <c r="D15" s="155" t="n"/>
      <c r="E15" s="154" t="n"/>
      <c r="F15" s="154" t="n"/>
      <c r="G15" s="155" t="n"/>
      <c r="H15" s="154" t="n"/>
      <c r="I15" s="246" t="n"/>
    </row>
    <row r="16" ht="20.1" customHeight="1" s="372">
      <c r="A16" s="153" t="n"/>
      <c r="B16" s="154" t="n"/>
      <c r="C16" s="154" t="n"/>
      <c r="D16" s="155" t="n"/>
      <c r="E16" s="154" t="n"/>
      <c r="F16" s="154" t="n"/>
      <c r="G16" s="155" t="n"/>
      <c r="H16" s="154" t="n"/>
      <c r="I16" s="246" t="n"/>
    </row>
    <row r="17" ht="20.1" customHeight="1" s="372">
      <c r="A17" s="153" t="n"/>
      <c r="B17" s="154" t="n"/>
      <c r="C17" s="154" t="n"/>
      <c r="D17" s="155" t="n"/>
      <c r="E17" s="154" t="n"/>
      <c r="F17" s="154" t="n"/>
      <c r="G17" s="155" t="n"/>
      <c r="H17" s="154" t="n"/>
      <c r="I17" s="246" t="n"/>
    </row>
    <row r="18" ht="20.1" customHeight="1" s="372">
      <c r="A18" s="153" t="n"/>
      <c r="B18" s="154" t="n"/>
      <c r="C18" s="154" t="n"/>
      <c r="D18" s="155" t="n"/>
      <c r="E18" s="154" t="n"/>
      <c r="F18" s="154" t="n"/>
      <c r="G18" s="155" t="n"/>
      <c r="H18" s="154" t="n"/>
      <c r="I18" s="246" t="n"/>
    </row>
    <row r="19" ht="20.1" customHeight="1" s="372">
      <c r="A19" s="153" t="n"/>
      <c r="B19" s="154" t="n"/>
      <c r="C19" s="154" t="n"/>
      <c r="D19" s="155" t="n"/>
      <c r="E19" s="154" t="n"/>
      <c r="F19" s="154" t="n"/>
      <c r="G19" s="155" t="n"/>
      <c r="H19" s="154" t="n"/>
      <c r="I19" s="246" t="n"/>
    </row>
    <row r="20" ht="20.1" customHeight="1" s="372">
      <c r="A20" s="153" t="n"/>
      <c r="B20" s="154" t="n"/>
      <c r="C20" s="154" t="n"/>
      <c r="D20" s="155" t="n"/>
      <c r="E20" s="154" t="n"/>
      <c r="F20" s="154" t="n"/>
      <c r="G20" s="155" t="n"/>
      <c r="H20" s="154" t="n"/>
      <c r="I20" s="246" t="n"/>
    </row>
    <row r="21" ht="20.1" customHeight="1" s="372">
      <c r="A21" s="153" t="n"/>
      <c r="B21" s="154" t="n"/>
      <c r="C21" s="154" t="n"/>
      <c r="D21" s="155" t="n"/>
      <c r="E21" s="154" t="n"/>
      <c r="F21" s="154" t="n"/>
      <c r="G21" s="155" t="n"/>
      <c r="H21" s="154" t="n"/>
      <c r="I21" s="246" t="n"/>
    </row>
    <row r="22" ht="20.1" customHeight="1" s="372">
      <c r="A22" s="153" t="n"/>
      <c r="B22" s="154" t="n"/>
      <c r="C22" s="154" t="n"/>
      <c r="D22" s="155" t="n"/>
      <c r="E22" s="154" t="n"/>
      <c r="F22" s="154" t="n"/>
      <c r="G22" s="155" t="n"/>
      <c r="H22" s="154" t="n"/>
      <c r="I22" s="246" t="n"/>
    </row>
    <row r="23" ht="20.1" customHeight="1" s="372">
      <c r="A23" s="153" t="n"/>
      <c r="B23" s="154" t="n"/>
      <c r="C23" s="154" t="n"/>
      <c r="D23" s="155" t="n"/>
      <c r="E23" s="154" t="n"/>
      <c r="F23" s="154" t="n"/>
      <c r="G23" s="155" t="n"/>
      <c r="H23" s="154" t="n"/>
      <c r="I23" s="246" t="n"/>
    </row>
    <row r="24" ht="20.1" customHeight="1" s="372">
      <c r="A24" s="157" t="n"/>
      <c r="B24" s="158" t="n"/>
      <c r="C24" s="158" t="n"/>
      <c r="D24" s="159" t="n"/>
      <c r="E24" s="158" t="n"/>
      <c r="F24" s="158" t="n"/>
      <c r="G24" s="159" t="n"/>
      <c r="H24" s="158" t="n"/>
      <c r="I24" s="247" t="n"/>
    </row>
  </sheetData>
  <printOptions horizontalCentered="1"/>
  <pageMargins left="0.5118110236220472" right="0.5118110236220472" top="0.5905511811023622" bottom="0.3937007874015748" header="0" footer="0"/>
  <pageSetup orientation="landscape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김홍덕</dc:creator>
  <dcterms:created xmlns:dcterms="http://purl.org/dc/terms/" xmlns:xsi="http://www.w3.org/2001/XMLSchema-instance" xsi:type="dcterms:W3CDTF">2023-04-21T20:26:14Z</dcterms:created>
  <dcterms:modified xmlns:dcterms="http://purl.org/dc/terms/" xmlns:xsi="http://www.w3.org/2001/XMLSchema-instance" xsi:type="dcterms:W3CDTF">2026-09-22T05:59:19Z</dcterms:modified>
  <cp:lastModifiedBy>홍덕 김</cp:lastModifiedBy>
  <cp:lastPrinted>2025-10-07T06:01:04Z</cp:lastPrinted>
</cp:coreProperties>
</file>